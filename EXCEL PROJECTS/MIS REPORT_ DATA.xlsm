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trlProps/ctrlProp5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sh\Desktop\PROJECTS\EXCEL PROJECTS\"/>
    </mc:Choice>
  </mc:AlternateContent>
  <xr:revisionPtr revIDLastSave="0" documentId="13_ncr:1_{DFC13E4E-E4C6-4F1A-A38D-619913A277A2}" xr6:coauthVersionLast="47" xr6:coauthVersionMax="47" xr10:uidLastSave="{00000000-0000-0000-0000-000000000000}"/>
  <bookViews>
    <workbookView xWindow="-120" yWindow="-120" windowWidth="29040" windowHeight="15840" activeTab="5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summary 2" sheetId="6" state="hidden" r:id="rId5"/>
    <sheet name="Dashboard" sheetId="5" r:id="rId6"/>
    <sheet name="Dashboard 2" sheetId="7" state="hidden" r:id="rId7"/>
  </sheets>
  <externalReferences>
    <externalReference r:id="rId8"/>
  </externalReference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6" l="1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2" i="6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2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" i="6"/>
  <c r="A1" i="6"/>
  <c r="A3" i="4"/>
  <c r="A4" i="4"/>
  <c r="D4" i="4" s="1"/>
  <c r="A5" i="4"/>
  <c r="D5" i="4" s="1"/>
  <c r="A6" i="4"/>
  <c r="G6" i="4" s="1"/>
  <c r="A7" i="4"/>
  <c r="A8" i="4"/>
  <c r="D8" i="4" s="1"/>
  <c r="A9" i="4"/>
  <c r="D9" i="4" s="1"/>
  <c r="A10" i="4"/>
  <c r="D10" i="4" s="1"/>
  <c r="A11" i="4"/>
  <c r="G11" i="4" s="1"/>
  <c r="A12" i="4"/>
  <c r="D12" i="4" s="1"/>
  <c r="A13" i="4"/>
  <c r="D13" i="4" s="1"/>
  <c r="A14" i="4"/>
  <c r="D14" i="4" s="1"/>
  <c r="A15" i="4"/>
  <c r="A16" i="4"/>
  <c r="E16" i="4" s="1"/>
  <c r="A17" i="4"/>
  <c r="D17" i="4" s="1"/>
  <c r="A18" i="4"/>
  <c r="D18" i="4" s="1"/>
  <c r="A19" i="4"/>
  <c r="A20" i="4"/>
  <c r="D20" i="4" s="1"/>
  <c r="A21" i="4"/>
  <c r="G21" i="4" s="1"/>
  <c r="A22" i="4"/>
  <c r="G22" i="4" s="1"/>
  <c r="A23" i="4"/>
  <c r="A24" i="4"/>
  <c r="D24" i="4" s="1"/>
  <c r="A25" i="4"/>
  <c r="D25" i="4" s="1"/>
  <c r="A26" i="4"/>
  <c r="D26" i="4" s="1"/>
  <c r="A27" i="4"/>
  <c r="D27" i="4" s="1"/>
  <c r="A28" i="4"/>
  <c r="D28" i="4" s="1"/>
  <c r="A29" i="4"/>
  <c r="D29" i="4" s="1"/>
  <c r="A30" i="4"/>
  <c r="D30" i="4" s="1"/>
  <c r="A31" i="4"/>
  <c r="A32" i="4"/>
  <c r="E32" i="4" s="1"/>
  <c r="A33" i="4"/>
  <c r="D33" i="4" s="1"/>
  <c r="A34" i="4"/>
  <c r="D34" i="4" s="1"/>
  <c r="A35" i="4"/>
  <c r="A36" i="4"/>
  <c r="B36" i="4" s="1"/>
  <c r="A37" i="4"/>
  <c r="D37" i="4" s="1"/>
  <c r="A38" i="4"/>
  <c r="G38" i="4" s="1"/>
  <c r="A39" i="4"/>
  <c r="A40" i="4"/>
  <c r="B40" i="4" s="1"/>
  <c r="A41" i="4"/>
  <c r="D41" i="4" s="1"/>
  <c r="A42" i="4"/>
  <c r="D42" i="4" s="1"/>
  <c r="A43" i="4"/>
  <c r="D43" i="4" s="1"/>
  <c r="A44" i="4"/>
  <c r="B44" i="4" s="1"/>
  <c r="A45" i="4"/>
  <c r="D45" i="4" s="1"/>
  <c r="A46" i="4"/>
  <c r="D46" i="4" s="1"/>
  <c r="A47" i="4"/>
  <c r="A48" i="4"/>
  <c r="D48" i="4" s="1"/>
  <c r="A49" i="4"/>
  <c r="D49" i="4" s="1"/>
  <c r="A50" i="4"/>
  <c r="D50" i="4" s="1"/>
  <c r="A51" i="4"/>
  <c r="A52" i="4"/>
  <c r="B52" i="4" s="1"/>
  <c r="A53" i="4"/>
  <c r="D53" i="4" s="1"/>
  <c r="A54" i="4"/>
  <c r="D54" i="4" s="1"/>
  <c r="A55" i="4"/>
  <c r="A56" i="4"/>
  <c r="B56" i="4" s="1"/>
  <c r="A57" i="4"/>
  <c r="D57" i="4" s="1"/>
  <c r="A58" i="4"/>
  <c r="D58" i="4" s="1"/>
  <c r="A59" i="4"/>
  <c r="E59" i="4" s="1"/>
  <c r="A60" i="4"/>
  <c r="B60" i="4" s="1"/>
  <c r="A61" i="4"/>
  <c r="D61" i="4" s="1"/>
  <c r="A62" i="4"/>
  <c r="D62" i="4" s="1"/>
  <c r="A63" i="4"/>
  <c r="B63" i="4" s="1"/>
  <c r="A64" i="4"/>
  <c r="D64" i="4" s="1"/>
  <c r="A65" i="4"/>
  <c r="D65" i="4" s="1"/>
  <c r="A66" i="4"/>
  <c r="D66" i="4" s="1"/>
  <c r="A67" i="4"/>
  <c r="A68" i="4"/>
  <c r="B68" i="4" s="1"/>
  <c r="A69" i="4"/>
  <c r="D69" i="4" s="1"/>
  <c r="A70" i="4"/>
  <c r="F70" i="4" s="1"/>
  <c r="A71" i="4"/>
  <c r="B71" i="4" s="1"/>
  <c r="A72" i="4"/>
  <c r="B72" i="4" s="1"/>
  <c r="A73" i="4"/>
  <c r="D73" i="4" s="1"/>
  <c r="A74" i="4"/>
  <c r="D74" i="4" s="1"/>
  <c r="A75" i="4"/>
  <c r="E75" i="4" s="1"/>
  <c r="A76" i="4"/>
  <c r="B76" i="4" s="1"/>
  <c r="A77" i="4"/>
  <c r="D77" i="4" s="1"/>
  <c r="A78" i="4"/>
  <c r="D78" i="4" s="1"/>
  <c r="A79" i="4"/>
  <c r="A80" i="4"/>
  <c r="G80" i="4" s="1"/>
  <c r="A81" i="4"/>
  <c r="D81" i="4" s="1"/>
  <c r="A82" i="4"/>
  <c r="D82" i="4" s="1"/>
  <c r="A83" i="4"/>
  <c r="A84" i="4"/>
  <c r="B84" i="4" s="1"/>
  <c r="A85" i="4"/>
  <c r="G85" i="4" s="1"/>
  <c r="A86" i="4"/>
  <c r="F86" i="4" s="1"/>
  <c r="A87" i="4"/>
  <c r="A88" i="4"/>
  <c r="B88" i="4" s="1"/>
  <c r="A89" i="4"/>
  <c r="D89" i="4" s="1"/>
  <c r="A90" i="4"/>
  <c r="D90" i="4" s="1"/>
  <c r="A91" i="4"/>
  <c r="E91" i="4" s="1"/>
  <c r="A92" i="4"/>
  <c r="B92" i="4" s="1"/>
  <c r="A93" i="4"/>
  <c r="D93" i="4" s="1"/>
  <c r="A94" i="4"/>
  <c r="D94" i="4" s="1"/>
  <c r="A95" i="4"/>
  <c r="A96" i="4"/>
  <c r="G96" i="4" s="1"/>
  <c r="A97" i="4"/>
  <c r="D97" i="4" s="1"/>
  <c r="A98" i="4"/>
  <c r="D98" i="4" s="1"/>
  <c r="A99" i="4"/>
  <c r="B99" i="4" s="1"/>
  <c r="A100" i="4"/>
  <c r="B100" i="4" s="1"/>
  <c r="A101" i="4"/>
  <c r="D101" i="4" s="1"/>
  <c r="A102" i="4"/>
  <c r="D102" i="4" s="1"/>
  <c r="A103" i="4"/>
  <c r="A104" i="4"/>
  <c r="B104" i="4" s="1"/>
  <c r="A105" i="4"/>
  <c r="D105" i="4" s="1"/>
  <c r="A106" i="4"/>
  <c r="D106" i="4" s="1"/>
  <c r="A107" i="4"/>
  <c r="E107" i="4" s="1"/>
  <c r="A108" i="4"/>
  <c r="B108" i="4" s="1"/>
  <c r="A109" i="4"/>
  <c r="D109" i="4" s="1"/>
  <c r="A110" i="4"/>
  <c r="D110" i="4" s="1"/>
  <c r="A111" i="4"/>
  <c r="A112" i="4"/>
  <c r="D112" i="4" s="1"/>
  <c r="A113" i="4"/>
  <c r="D113" i="4" s="1"/>
  <c r="A114" i="4"/>
  <c r="D114" i="4" s="1"/>
  <c r="A115" i="4"/>
  <c r="B115" i="4" s="1"/>
  <c r="A116" i="4"/>
  <c r="B116" i="4" s="1"/>
  <c r="A117" i="4"/>
  <c r="D117" i="4" s="1"/>
  <c r="A118" i="4"/>
  <c r="D118" i="4" s="1"/>
  <c r="A119" i="4"/>
  <c r="A120" i="4"/>
  <c r="B120" i="4" s="1"/>
  <c r="A121" i="4"/>
  <c r="D121" i="4" s="1"/>
  <c r="A122" i="4"/>
  <c r="D122" i="4" s="1"/>
  <c r="A123" i="4"/>
  <c r="E123" i="4" s="1"/>
  <c r="A124" i="4"/>
  <c r="B124" i="4" s="1"/>
  <c r="A125" i="4"/>
  <c r="D125" i="4" s="1"/>
  <c r="A126" i="4"/>
  <c r="D126" i="4" s="1"/>
  <c r="A127" i="4"/>
  <c r="A128" i="4"/>
  <c r="D128" i="4" s="1"/>
  <c r="A129" i="4"/>
  <c r="D129" i="4" s="1"/>
  <c r="A130" i="4"/>
  <c r="D130" i="4" s="1"/>
  <c r="A131" i="4"/>
  <c r="A132" i="4"/>
  <c r="B132" i="4" s="1"/>
  <c r="A133" i="4"/>
  <c r="F133" i="4" s="1"/>
  <c r="A134" i="4"/>
  <c r="G134" i="4" s="1"/>
  <c r="A135" i="4"/>
  <c r="E135" i="4" s="1"/>
  <c r="A136" i="4"/>
  <c r="D136" i="4" s="1"/>
  <c r="A137" i="4"/>
  <c r="D137" i="4" s="1"/>
  <c r="A138" i="4"/>
  <c r="D138" i="4" s="1"/>
  <c r="A139" i="4"/>
  <c r="G139" i="4" s="1"/>
  <c r="A140" i="4"/>
  <c r="B140" i="4" s="1"/>
  <c r="A141" i="4"/>
  <c r="D141" i="4" s="1"/>
  <c r="A142" i="4"/>
  <c r="D142" i="4" s="1"/>
  <c r="A143" i="4"/>
  <c r="E143" i="4" s="1"/>
  <c r="A144" i="4"/>
  <c r="E144" i="4" s="1"/>
  <c r="A145" i="4"/>
  <c r="D145" i="4" s="1"/>
  <c r="A146" i="4"/>
  <c r="D146" i="4" s="1"/>
  <c r="A147" i="4"/>
  <c r="E147" i="4" s="1"/>
  <c r="A148" i="4"/>
  <c r="A149" i="4"/>
  <c r="F149" i="4" s="1"/>
  <c r="A150" i="4"/>
  <c r="G150" i="4" s="1"/>
  <c r="A2" i="4"/>
  <c r="E2" i="4" s="1"/>
  <c r="G148" i="4" l="1"/>
  <c r="F148" i="4"/>
  <c r="G95" i="4"/>
  <c r="F95" i="4"/>
  <c r="E95" i="4"/>
  <c r="G55" i="4"/>
  <c r="F55" i="4"/>
  <c r="E55" i="4"/>
  <c r="G51" i="4"/>
  <c r="F51" i="4"/>
  <c r="E51" i="4"/>
  <c r="G47" i="4"/>
  <c r="F47" i="4"/>
  <c r="E47" i="4"/>
  <c r="G39" i="4"/>
  <c r="F39" i="4"/>
  <c r="E39" i="4"/>
  <c r="G35" i="4"/>
  <c r="F35" i="4"/>
  <c r="E35" i="4"/>
  <c r="G31" i="4"/>
  <c r="F31" i="4"/>
  <c r="E31" i="4"/>
  <c r="G23" i="4"/>
  <c r="F23" i="4"/>
  <c r="E23" i="4"/>
  <c r="G19" i="4"/>
  <c r="F19" i="4"/>
  <c r="E19" i="4"/>
  <c r="G15" i="4"/>
  <c r="F15" i="4"/>
  <c r="E15" i="4"/>
  <c r="G7" i="4"/>
  <c r="F7" i="4"/>
  <c r="E7" i="4"/>
  <c r="G3" i="4"/>
  <c r="F3" i="4"/>
  <c r="E3" i="4"/>
  <c r="B148" i="4"/>
  <c r="B144" i="4"/>
  <c r="B136" i="4"/>
  <c r="B128" i="4"/>
  <c r="B112" i="4"/>
  <c r="B96" i="4"/>
  <c r="B80" i="4"/>
  <c r="B64" i="4"/>
  <c r="B48" i="4"/>
  <c r="B32" i="4"/>
  <c r="B28" i="4"/>
  <c r="B24" i="4"/>
  <c r="B20" i="4"/>
  <c r="B16" i="4"/>
  <c r="B12" i="4"/>
  <c r="B8" i="4"/>
  <c r="B4" i="4"/>
  <c r="C149" i="4"/>
  <c r="C145" i="4"/>
  <c r="C141" i="4"/>
  <c r="C137" i="4"/>
  <c r="C133" i="4"/>
  <c r="C129" i="4"/>
  <c r="C125" i="4"/>
  <c r="C121" i="4"/>
  <c r="C117" i="4"/>
  <c r="C113" i="4"/>
  <c r="C109" i="4"/>
  <c r="C105" i="4"/>
  <c r="C101" i="4"/>
  <c r="C97" i="4"/>
  <c r="C93" i="4"/>
  <c r="C89" i="4"/>
  <c r="C85" i="4"/>
  <c r="C81" i="4"/>
  <c r="C77" i="4"/>
  <c r="C73" i="4"/>
  <c r="C69" i="4"/>
  <c r="C65" i="4"/>
  <c r="C61" i="4"/>
  <c r="C57" i="4"/>
  <c r="C53" i="4"/>
  <c r="C49" i="4"/>
  <c r="C45" i="4"/>
  <c r="C41" i="4"/>
  <c r="C37" i="4"/>
  <c r="C33" i="4"/>
  <c r="C29" i="4"/>
  <c r="C25" i="4"/>
  <c r="C21" i="4"/>
  <c r="C17" i="4"/>
  <c r="C13" i="4"/>
  <c r="C9" i="4"/>
  <c r="C5" i="4"/>
  <c r="D150" i="4"/>
  <c r="D134" i="4"/>
  <c r="D86" i="4"/>
  <c r="D70" i="4"/>
  <c r="D38" i="4"/>
  <c r="D22" i="4"/>
  <c r="D6" i="4"/>
  <c r="E139" i="4"/>
  <c r="E128" i="4"/>
  <c r="E112" i="4"/>
  <c r="E96" i="4"/>
  <c r="E80" i="4"/>
  <c r="E64" i="4"/>
  <c r="E48" i="4"/>
  <c r="E27" i="4"/>
  <c r="E6" i="4"/>
  <c r="F134" i="4"/>
  <c r="F112" i="4"/>
  <c r="F91" i="4"/>
  <c r="F48" i="4"/>
  <c r="F27" i="4"/>
  <c r="F6" i="4"/>
  <c r="G133" i="4"/>
  <c r="G112" i="4"/>
  <c r="G91" i="4"/>
  <c r="G69" i="4"/>
  <c r="G48" i="4"/>
  <c r="G27" i="4"/>
  <c r="G140" i="4"/>
  <c r="F140" i="4"/>
  <c r="G132" i="4"/>
  <c r="F132" i="4"/>
  <c r="G124" i="4"/>
  <c r="F124" i="4"/>
  <c r="G120" i="4"/>
  <c r="F120" i="4"/>
  <c r="G116" i="4"/>
  <c r="F116" i="4"/>
  <c r="G108" i="4"/>
  <c r="F108" i="4"/>
  <c r="G104" i="4"/>
  <c r="F104" i="4"/>
  <c r="G100" i="4"/>
  <c r="F100" i="4"/>
  <c r="G92" i="4"/>
  <c r="F92" i="4"/>
  <c r="G88" i="4"/>
  <c r="F88" i="4"/>
  <c r="G84" i="4"/>
  <c r="F84" i="4"/>
  <c r="G76" i="4"/>
  <c r="F76" i="4"/>
  <c r="G72" i="4"/>
  <c r="F72" i="4"/>
  <c r="G68" i="4"/>
  <c r="F68" i="4"/>
  <c r="G60" i="4"/>
  <c r="F60" i="4"/>
  <c r="G56" i="4"/>
  <c r="F56" i="4"/>
  <c r="G52" i="4"/>
  <c r="F52" i="4"/>
  <c r="E44" i="4"/>
  <c r="G44" i="4"/>
  <c r="F44" i="4"/>
  <c r="E40" i="4"/>
  <c r="G40" i="4"/>
  <c r="F40" i="4"/>
  <c r="E36" i="4"/>
  <c r="G36" i="4"/>
  <c r="F36" i="4"/>
  <c r="G2" i="4"/>
  <c r="F2" i="4"/>
  <c r="G147" i="4"/>
  <c r="F147" i="4"/>
  <c r="G143" i="4"/>
  <c r="F143" i="4"/>
  <c r="G135" i="4"/>
  <c r="F135" i="4"/>
  <c r="G131" i="4"/>
  <c r="F131" i="4"/>
  <c r="E131" i="4"/>
  <c r="G127" i="4"/>
  <c r="F127" i="4"/>
  <c r="E127" i="4"/>
  <c r="G119" i="4"/>
  <c r="F119" i="4"/>
  <c r="E119" i="4"/>
  <c r="G111" i="4"/>
  <c r="F111" i="4"/>
  <c r="E111" i="4"/>
  <c r="G103" i="4"/>
  <c r="F103" i="4"/>
  <c r="E103" i="4"/>
  <c r="G87" i="4"/>
  <c r="F87" i="4"/>
  <c r="E87" i="4"/>
  <c r="G83" i="4"/>
  <c r="F83" i="4"/>
  <c r="E83" i="4"/>
  <c r="G79" i="4"/>
  <c r="F79" i="4"/>
  <c r="E79" i="4"/>
  <c r="G67" i="4"/>
  <c r="F67" i="4"/>
  <c r="E67" i="4"/>
  <c r="G146" i="4"/>
  <c r="F146" i="4"/>
  <c r="G142" i="4"/>
  <c r="F142" i="4"/>
  <c r="G138" i="4"/>
  <c r="F138" i="4"/>
  <c r="G130" i="4"/>
  <c r="F130" i="4"/>
  <c r="E130" i="4"/>
  <c r="G122" i="4"/>
  <c r="E122" i="4"/>
  <c r="F122" i="4"/>
  <c r="G114" i="4"/>
  <c r="F114" i="4"/>
  <c r="E114" i="4"/>
  <c r="G106" i="4"/>
  <c r="E106" i="4"/>
  <c r="F106" i="4"/>
  <c r="G98" i="4"/>
  <c r="F98" i="4"/>
  <c r="E98" i="4"/>
  <c r="G90" i="4"/>
  <c r="E90" i="4"/>
  <c r="F90" i="4"/>
  <c r="G82" i="4"/>
  <c r="F82" i="4"/>
  <c r="E82" i="4"/>
  <c r="G74" i="4"/>
  <c r="E74" i="4"/>
  <c r="F74" i="4"/>
  <c r="G66" i="4"/>
  <c r="F66" i="4"/>
  <c r="E66" i="4"/>
  <c r="G58" i="4"/>
  <c r="E58" i="4"/>
  <c r="F58" i="4"/>
  <c r="G54" i="4"/>
  <c r="E54" i="4"/>
  <c r="G50" i="4"/>
  <c r="F50" i="4"/>
  <c r="E50" i="4"/>
  <c r="G46" i="4"/>
  <c r="F46" i="4"/>
  <c r="E46" i="4"/>
  <c r="G34" i="4"/>
  <c r="F34" i="4"/>
  <c r="E34" i="4"/>
  <c r="G30" i="4"/>
  <c r="F30" i="4"/>
  <c r="E30" i="4"/>
  <c r="G26" i="4"/>
  <c r="F26" i="4"/>
  <c r="E26" i="4"/>
  <c r="G18" i="4"/>
  <c r="F18" i="4"/>
  <c r="E18" i="4"/>
  <c r="G14" i="4"/>
  <c r="F14" i="4"/>
  <c r="E14" i="4"/>
  <c r="G10" i="4"/>
  <c r="F10" i="4"/>
  <c r="E10" i="4"/>
  <c r="B2" i="4"/>
  <c r="B147" i="4"/>
  <c r="B143" i="4"/>
  <c r="B139" i="4"/>
  <c r="B135" i="4"/>
  <c r="B131" i="4"/>
  <c r="B127" i="4"/>
  <c r="B123" i="4"/>
  <c r="B119" i="4"/>
  <c r="B111" i="4"/>
  <c r="B107" i="4"/>
  <c r="B103" i="4"/>
  <c r="B95" i="4"/>
  <c r="B91" i="4"/>
  <c r="B87" i="4"/>
  <c r="B83" i="4"/>
  <c r="B79" i="4"/>
  <c r="B75" i="4"/>
  <c r="B67" i="4"/>
  <c r="B59" i="4"/>
  <c r="B55" i="4"/>
  <c r="B51" i="4"/>
  <c r="B47" i="4"/>
  <c r="B43" i="4"/>
  <c r="B39" i="4"/>
  <c r="B35" i="4"/>
  <c r="B31" i="4"/>
  <c r="B27" i="4"/>
  <c r="B23" i="4"/>
  <c r="B19" i="4"/>
  <c r="B15" i="4"/>
  <c r="B11" i="4"/>
  <c r="B7" i="4"/>
  <c r="B3" i="4"/>
  <c r="C148" i="4"/>
  <c r="C144" i="4"/>
  <c r="C140" i="4"/>
  <c r="C136" i="4"/>
  <c r="C132" i="4"/>
  <c r="C128" i="4"/>
  <c r="C124" i="4"/>
  <c r="C120" i="4"/>
  <c r="C116" i="4"/>
  <c r="C112" i="4"/>
  <c r="C108" i="4"/>
  <c r="C104" i="4"/>
  <c r="C100" i="4"/>
  <c r="C96" i="4"/>
  <c r="C92" i="4"/>
  <c r="C88" i="4"/>
  <c r="C84" i="4"/>
  <c r="C80" i="4"/>
  <c r="C76" i="4"/>
  <c r="C72" i="4"/>
  <c r="C68" i="4"/>
  <c r="C64" i="4"/>
  <c r="C60" i="4"/>
  <c r="C56" i="4"/>
  <c r="C52" i="4"/>
  <c r="C48" i="4"/>
  <c r="C44" i="4"/>
  <c r="C40" i="4"/>
  <c r="C36" i="4"/>
  <c r="C32" i="4"/>
  <c r="C28" i="4"/>
  <c r="C24" i="4"/>
  <c r="C20" i="4"/>
  <c r="C16" i="4"/>
  <c r="C12" i="4"/>
  <c r="C8" i="4"/>
  <c r="C4" i="4"/>
  <c r="D149" i="4"/>
  <c r="D133" i="4"/>
  <c r="D85" i="4"/>
  <c r="D21" i="4"/>
  <c r="E150" i="4"/>
  <c r="E146" i="4"/>
  <c r="E142" i="4"/>
  <c r="E138" i="4"/>
  <c r="E134" i="4"/>
  <c r="E124" i="4"/>
  <c r="E108" i="4"/>
  <c r="E92" i="4"/>
  <c r="E76" i="4"/>
  <c r="E60" i="4"/>
  <c r="E43" i="4"/>
  <c r="E22" i="4"/>
  <c r="F150" i="4"/>
  <c r="F128" i="4"/>
  <c r="F107" i="4"/>
  <c r="F64" i="4"/>
  <c r="F43" i="4"/>
  <c r="F22" i="4"/>
  <c r="G149" i="4"/>
  <c r="G128" i="4"/>
  <c r="G107" i="4"/>
  <c r="G64" i="4"/>
  <c r="G43" i="4"/>
  <c r="G115" i="4"/>
  <c r="F115" i="4"/>
  <c r="E115" i="4"/>
  <c r="G99" i="4"/>
  <c r="F99" i="4"/>
  <c r="E99" i="4"/>
  <c r="G71" i="4"/>
  <c r="F71" i="4"/>
  <c r="E71" i="4"/>
  <c r="G63" i="4"/>
  <c r="F63" i="4"/>
  <c r="E63" i="4"/>
  <c r="G126" i="4"/>
  <c r="F126" i="4"/>
  <c r="E126" i="4"/>
  <c r="G118" i="4"/>
  <c r="E118" i="4"/>
  <c r="G110" i="4"/>
  <c r="F110" i="4"/>
  <c r="E110" i="4"/>
  <c r="G102" i="4"/>
  <c r="E102" i="4"/>
  <c r="G94" i="4"/>
  <c r="F94" i="4"/>
  <c r="E94" i="4"/>
  <c r="G86" i="4"/>
  <c r="E86" i="4"/>
  <c r="G78" i="4"/>
  <c r="F78" i="4"/>
  <c r="E78" i="4"/>
  <c r="G70" i="4"/>
  <c r="E70" i="4"/>
  <c r="G62" i="4"/>
  <c r="F62" i="4"/>
  <c r="E62" i="4"/>
  <c r="G42" i="4"/>
  <c r="F42" i="4"/>
  <c r="E42" i="4"/>
  <c r="F145" i="4"/>
  <c r="G145" i="4"/>
  <c r="F141" i="4"/>
  <c r="G141" i="4"/>
  <c r="F137" i="4"/>
  <c r="G137" i="4"/>
  <c r="F129" i="4"/>
  <c r="G129" i="4"/>
  <c r="E129" i="4"/>
  <c r="F125" i="4"/>
  <c r="E125" i="4"/>
  <c r="G125" i="4"/>
  <c r="F121" i="4"/>
  <c r="E121" i="4"/>
  <c r="G121" i="4"/>
  <c r="F117" i="4"/>
  <c r="E117" i="4"/>
  <c r="F113" i="4"/>
  <c r="G113" i="4"/>
  <c r="E113" i="4"/>
  <c r="F109" i="4"/>
  <c r="E109" i="4"/>
  <c r="G109" i="4"/>
  <c r="F105" i="4"/>
  <c r="E105" i="4"/>
  <c r="G105" i="4"/>
  <c r="F101" i="4"/>
  <c r="E101" i="4"/>
  <c r="F97" i="4"/>
  <c r="G97" i="4"/>
  <c r="E97" i="4"/>
  <c r="F93" i="4"/>
  <c r="E93" i="4"/>
  <c r="G93" i="4"/>
  <c r="F89" i="4"/>
  <c r="E89" i="4"/>
  <c r="G89" i="4"/>
  <c r="F85" i="4"/>
  <c r="E85" i="4"/>
  <c r="F81" i="4"/>
  <c r="G81" i="4"/>
  <c r="E81" i="4"/>
  <c r="F77" i="4"/>
  <c r="E77" i="4"/>
  <c r="G77" i="4"/>
  <c r="F73" i="4"/>
  <c r="E73" i="4"/>
  <c r="G73" i="4"/>
  <c r="F69" i="4"/>
  <c r="E69" i="4"/>
  <c r="F65" i="4"/>
  <c r="G65" i="4"/>
  <c r="E65" i="4"/>
  <c r="F61" i="4"/>
  <c r="E61" i="4"/>
  <c r="G61" i="4"/>
  <c r="F57" i="4"/>
  <c r="E57" i="4"/>
  <c r="G57" i="4"/>
  <c r="F53" i="4"/>
  <c r="E53" i="4"/>
  <c r="F49" i="4"/>
  <c r="G49" i="4"/>
  <c r="E49" i="4"/>
  <c r="F45" i="4"/>
  <c r="E45" i="4"/>
  <c r="G45" i="4"/>
  <c r="F41" i="4"/>
  <c r="E41" i="4"/>
  <c r="G41" i="4"/>
  <c r="F37" i="4"/>
  <c r="E37" i="4"/>
  <c r="F33" i="4"/>
  <c r="G33" i="4"/>
  <c r="F29" i="4"/>
  <c r="E29" i="4"/>
  <c r="G29" i="4"/>
  <c r="F25" i="4"/>
  <c r="E25" i="4"/>
  <c r="G25" i="4"/>
  <c r="F21" i="4"/>
  <c r="E21" i="4"/>
  <c r="F17" i="4"/>
  <c r="G17" i="4"/>
  <c r="F13" i="4"/>
  <c r="E13" i="4"/>
  <c r="G13" i="4"/>
  <c r="F9" i="4"/>
  <c r="E9" i="4"/>
  <c r="G9" i="4"/>
  <c r="G5" i="4"/>
  <c r="F5" i="4"/>
  <c r="E5" i="4"/>
  <c r="B150" i="4"/>
  <c r="B146" i="4"/>
  <c r="B142" i="4"/>
  <c r="B138" i="4"/>
  <c r="B134" i="4"/>
  <c r="B130" i="4"/>
  <c r="B126" i="4"/>
  <c r="B122" i="4"/>
  <c r="B118" i="4"/>
  <c r="B114" i="4"/>
  <c r="B110" i="4"/>
  <c r="B106" i="4"/>
  <c r="B102" i="4"/>
  <c r="B98" i="4"/>
  <c r="B94" i="4"/>
  <c r="B90" i="4"/>
  <c r="B86" i="4"/>
  <c r="B82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C2" i="4"/>
  <c r="C147" i="4"/>
  <c r="C143" i="4"/>
  <c r="C139" i="4"/>
  <c r="C135" i="4"/>
  <c r="C131" i="4"/>
  <c r="C127" i="4"/>
  <c r="C123" i="4"/>
  <c r="C119" i="4"/>
  <c r="C115" i="4"/>
  <c r="C111" i="4"/>
  <c r="C107" i="4"/>
  <c r="C103" i="4"/>
  <c r="C99" i="4"/>
  <c r="C95" i="4"/>
  <c r="C91" i="4"/>
  <c r="C87" i="4"/>
  <c r="C83" i="4"/>
  <c r="C79" i="4"/>
  <c r="C75" i="4"/>
  <c r="C71" i="4"/>
  <c r="C67" i="4"/>
  <c r="C63" i="4"/>
  <c r="C59" i="4"/>
  <c r="C55" i="4"/>
  <c r="C51" i="4"/>
  <c r="C47" i="4"/>
  <c r="C43" i="4"/>
  <c r="C39" i="4"/>
  <c r="C35" i="4"/>
  <c r="C31" i="4"/>
  <c r="C27" i="4"/>
  <c r="C23" i="4"/>
  <c r="C19" i="4"/>
  <c r="C15" i="4"/>
  <c r="C11" i="4"/>
  <c r="C7" i="4"/>
  <c r="C3" i="4"/>
  <c r="D148" i="4"/>
  <c r="D144" i="4"/>
  <c r="D140" i="4"/>
  <c r="D132" i="4"/>
  <c r="D124" i="4"/>
  <c r="D120" i="4"/>
  <c r="D116" i="4"/>
  <c r="D108" i="4"/>
  <c r="D104" i="4"/>
  <c r="D100" i="4"/>
  <c r="D96" i="4"/>
  <c r="D92" i="4"/>
  <c r="D88" i="4"/>
  <c r="D84" i="4"/>
  <c r="D80" i="4"/>
  <c r="D76" i="4"/>
  <c r="D72" i="4"/>
  <c r="D68" i="4"/>
  <c r="D60" i="4"/>
  <c r="D56" i="4"/>
  <c r="D52" i="4"/>
  <c r="D44" i="4"/>
  <c r="D40" i="4"/>
  <c r="D36" i="4"/>
  <c r="D32" i="4"/>
  <c r="D16" i="4"/>
  <c r="E149" i="4"/>
  <c r="E145" i="4"/>
  <c r="E141" i="4"/>
  <c r="E137" i="4"/>
  <c r="E133" i="4"/>
  <c r="E120" i="4"/>
  <c r="E104" i="4"/>
  <c r="E88" i="4"/>
  <c r="E72" i="4"/>
  <c r="E56" i="4"/>
  <c r="E38" i="4"/>
  <c r="E17" i="4"/>
  <c r="F144" i="4"/>
  <c r="F123" i="4"/>
  <c r="F102" i="4"/>
  <c r="F80" i="4"/>
  <c r="F59" i="4"/>
  <c r="F38" i="4"/>
  <c r="F16" i="4"/>
  <c r="G144" i="4"/>
  <c r="G123" i="4"/>
  <c r="G101" i="4"/>
  <c r="G59" i="4"/>
  <c r="G37" i="4"/>
  <c r="G16" i="4"/>
  <c r="G136" i="4"/>
  <c r="F136" i="4"/>
  <c r="E28" i="4"/>
  <c r="G28" i="4"/>
  <c r="F28" i="4"/>
  <c r="E24" i="4"/>
  <c r="G24" i="4"/>
  <c r="F24" i="4"/>
  <c r="E20" i="4"/>
  <c r="G20" i="4"/>
  <c r="F20" i="4"/>
  <c r="E12" i="4"/>
  <c r="G12" i="4"/>
  <c r="F12" i="4"/>
  <c r="E8" i="4"/>
  <c r="G8" i="4"/>
  <c r="F8" i="4"/>
  <c r="G4" i="4"/>
  <c r="E4" i="4"/>
  <c r="F4" i="4"/>
  <c r="B149" i="4"/>
  <c r="B145" i="4"/>
  <c r="B141" i="4"/>
  <c r="B137" i="4"/>
  <c r="B133" i="4"/>
  <c r="B129" i="4"/>
  <c r="B125" i="4"/>
  <c r="B121" i="4"/>
  <c r="B117" i="4"/>
  <c r="B113" i="4"/>
  <c r="B109" i="4"/>
  <c r="B105" i="4"/>
  <c r="B101" i="4"/>
  <c r="B97" i="4"/>
  <c r="B93" i="4"/>
  <c r="B89" i="4"/>
  <c r="B85" i="4"/>
  <c r="B81" i="4"/>
  <c r="B77" i="4"/>
  <c r="B7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B13" i="4"/>
  <c r="B9" i="4"/>
  <c r="B5" i="4"/>
  <c r="C150" i="4"/>
  <c r="C146" i="4"/>
  <c r="C142" i="4"/>
  <c r="C138" i="4"/>
  <c r="C134" i="4"/>
  <c r="C130" i="4"/>
  <c r="C126" i="4"/>
  <c r="C122" i="4"/>
  <c r="C118" i="4"/>
  <c r="C114" i="4"/>
  <c r="C110" i="4"/>
  <c r="C106" i="4"/>
  <c r="C102" i="4"/>
  <c r="C98" i="4"/>
  <c r="C94" i="4"/>
  <c r="C90" i="4"/>
  <c r="C86" i="4"/>
  <c r="C82" i="4"/>
  <c r="C78" i="4"/>
  <c r="C74" i="4"/>
  <c r="C70" i="4"/>
  <c r="C66" i="4"/>
  <c r="C62" i="4"/>
  <c r="C58" i="4"/>
  <c r="C54" i="4"/>
  <c r="C50" i="4"/>
  <c r="C46" i="4"/>
  <c r="C42" i="4"/>
  <c r="C38" i="4"/>
  <c r="C34" i="4"/>
  <c r="C30" i="4"/>
  <c r="C26" i="4"/>
  <c r="C22" i="4"/>
  <c r="C18" i="4"/>
  <c r="C14" i="4"/>
  <c r="C10" i="4"/>
  <c r="C6" i="4"/>
  <c r="D2" i="4"/>
  <c r="D147" i="4"/>
  <c r="D143" i="4"/>
  <c r="D139" i="4"/>
  <c r="D135" i="4"/>
  <c r="D131" i="4"/>
  <c r="D127" i="4"/>
  <c r="D123" i="4"/>
  <c r="D119" i="4"/>
  <c r="D115" i="4"/>
  <c r="D111" i="4"/>
  <c r="D107" i="4"/>
  <c r="D103" i="4"/>
  <c r="D99" i="4"/>
  <c r="D95" i="4"/>
  <c r="D91" i="4"/>
  <c r="D87" i="4"/>
  <c r="D83" i="4"/>
  <c r="D79" i="4"/>
  <c r="D75" i="4"/>
  <c r="D71" i="4"/>
  <c r="D67" i="4"/>
  <c r="D63" i="4"/>
  <c r="D59" i="4"/>
  <c r="D55" i="4"/>
  <c r="D51" i="4"/>
  <c r="D47" i="4"/>
  <c r="D39" i="4"/>
  <c r="D35" i="4"/>
  <c r="D31" i="4"/>
  <c r="D23" i="4"/>
  <c r="D19" i="4"/>
  <c r="D15" i="4"/>
  <c r="D11" i="4"/>
  <c r="D7" i="4"/>
  <c r="D3" i="4"/>
  <c r="E148" i="4"/>
  <c r="E140" i="4"/>
  <c r="E136" i="4"/>
  <c r="E132" i="4"/>
  <c r="E116" i="4"/>
  <c r="E100" i="4"/>
  <c r="E84" i="4"/>
  <c r="E68" i="4"/>
  <c r="E52" i="4"/>
  <c r="E33" i="4"/>
  <c r="E11" i="4"/>
  <c r="F139" i="4"/>
  <c r="F118" i="4"/>
  <c r="F96" i="4"/>
  <c r="F75" i="4"/>
  <c r="F54" i="4"/>
  <c r="F32" i="4"/>
  <c r="F11" i="4"/>
  <c r="G117" i="4"/>
  <c r="G75" i="4"/>
  <c r="G53" i="4"/>
  <c r="G32" i="4"/>
  <c r="A1" i="4"/>
</calcChain>
</file>

<file path=xl/sharedStrings.xml><?xml version="1.0" encoding="utf-8"?>
<sst xmlns="http://schemas.openxmlformats.org/spreadsheetml/2006/main" count="2607" uniqueCount="1151">
  <si>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</si>
  <si>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</si>
  <si>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</si>
  <si>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</si>
  <si>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</si>
  <si>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</si>
  <si>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</si>
  <si>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</si>
  <si>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</si>
  <si>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</si>
  <si>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</si>
  <si>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</si>
  <si>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</si>
  <si>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</si>
  <si>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</si>
  <si>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</si>
  <si>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</si>
  <si>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</si>
  <si>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</si>
  <si>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</si>
  <si>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</si>
  <si>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</si>
  <si>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</si>
  <si>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</si>
  <si>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</si>
  <si>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</si>
  <si>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</si>
  <si>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</si>
  <si>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</si>
  <si>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</si>
  <si>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</si>
  <si>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</si>
  <si>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</si>
  <si>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</si>
  <si>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</si>
  <si>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</si>
  <si>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</si>
  <si>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</si>
  <si>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</si>
  <si>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</si>
  <si>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</si>
  <si>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</si>
  <si>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</si>
  <si>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</si>
  <si>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</si>
  <si>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</si>
  <si>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</si>
  <si>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</si>
  <si>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</si>
  <si>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</si>
  <si>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</si>
  <si>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</si>
  <si>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</si>
  <si>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</si>
  <si>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</si>
  <si>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</si>
  <si>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</si>
  <si>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</si>
  <si>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</si>
  <si>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</si>
  <si>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</si>
  <si>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</si>
  <si>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</si>
  <si>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</si>
  <si>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</si>
  <si>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</si>
  <si>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</si>
  <si>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</si>
  <si>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</si>
  <si>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</si>
  <si>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</si>
  <si>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</si>
  <si>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</si>
  <si>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</si>
  <si>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</si>
  <si>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</si>
  <si>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</si>
  <si>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</si>
  <si>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</si>
  <si>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</si>
  <si>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</si>
  <si>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</si>
  <si>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</si>
  <si>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</si>
  <si>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</si>
  <si>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</si>
  <si>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</si>
  <si>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</si>
  <si>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</si>
  <si>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</si>
  <si>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</si>
  <si>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</si>
  <si>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</si>
  <si>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</si>
  <si>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</si>
  <si>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</si>
  <si>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</si>
  <si>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</si>
  <si>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</si>
  <si>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</si>
  <si>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</si>
  <si>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</si>
  <si>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</si>
  <si>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</si>
  <si>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</si>
  <si>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</si>
  <si>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</si>
  <si>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</si>
  <si>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</si>
  <si>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</si>
  <si>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</si>
  <si>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</si>
  <si>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</si>
  <si>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</si>
  <si>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</si>
  <si>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</si>
  <si>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</si>
  <si>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</si>
  <si>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</si>
  <si>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</si>
  <si>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</si>
  <si>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</si>
  <si>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</si>
  <si>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</si>
  <si>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</si>
  <si>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</si>
  <si>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</si>
  <si>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</si>
  <si>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</si>
  <si>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</si>
  <si>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</si>
  <si>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</si>
  <si>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</si>
  <si>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</si>
  <si>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</si>
  <si>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</si>
  <si>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</si>
  <si>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</si>
  <si>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</si>
  <si>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</si>
  <si>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</si>
  <si>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</si>
  <si>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</si>
  <si>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</si>
  <si>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</si>
  <si>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</si>
  <si>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</si>
  <si>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</si>
  <si>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</si>
  <si>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</si>
  <si>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</si>
  <si>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</si>
  <si>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</si>
  <si>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</si>
  <si>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</si>
  <si>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</si>
  <si>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</si>
  <si>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</si>
  <si>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</si>
  <si>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</si>
  <si>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</si>
  <si>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</si>
  <si>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</si>
  <si>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</si>
  <si>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</si>
  <si>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</si>
  <si>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</si>
  <si>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</si>
  <si>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</si>
  <si>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</si>
  <si>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</si>
  <si>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</si>
  <si>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</si>
  <si>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</si>
  <si>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</si>
  <si>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</si>
  <si>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</si>
  <si>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</si>
  <si>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</si>
  <si>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</si>
  <si>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</si>
  <si>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</si>
  <si>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</si>
  <si>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</si>
  <si>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</si>
  <si>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</si>
  <si>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</si>
  <si>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</si>
  <si>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</si>
  <si>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</si>
  <si>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</si>
  <si>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</si>
  <si>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</si>
  <si>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</si>
  <si>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</si>
  <si>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</si>
  <si>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</si>
  <si>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</si>
  <si>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</si>
  <si>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</si>
  <si>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</si>
  <si>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</si>
  <si>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</si>
  <si>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</si>
  <si>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</si>
  <si>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</si>
  <si>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</si>
  <si>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</si>
  <si>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</si>
  <si>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</si>
  <si>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</si>
  <si>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</si>
  <si>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</si>
  <si>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</si>
  <si>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</si>
  <si>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</si>
  <si>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</si>
  <si>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</si>
  <si>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</si>
  <si>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</si>
  <si>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</si>
  <si>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</si>
  <si>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</si>
  <si>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</si>
  <si>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</si>
  <si>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</si>
  <si>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</si>
  <si>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</si>
  <si>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</si>
  <si>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</si>
  <si>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</si>
  <si>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</si>
  <si>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</si>
  <si>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</si>
  <si>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</si>
  <si>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</si>
  <si>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</si>
  <si>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</si>
  <si>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</si>
  <si>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</si>
  <si>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</si>
  <si>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</si>
  <si>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</si>
  <si>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</si>
  <si>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</si>
  <si>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</si>
  <si>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</si>
  <si>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</si>
  <si>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</si>
  <si>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</si>
  <si>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</si>
  <si>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</si>
  <si>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</si>
  <si>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</si>
  <si>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</si>
  <si>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</si>
  <si>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</si>
  <si>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</si>
  <si>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</si>
  <si>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</si>
  <si>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</si>
  <si>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</si>
  <si>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</si>
  <si>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</si>
  <si>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</si>
  <si>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</si>
  <si>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</si>
  <si>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</si>
  <si>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</si>
  <si>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</si>
  <si>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</si>
  <si>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</si>
  <si>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</si>
  <si>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</si>
  <si>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</si>
  <si>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</si>
  <si>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</si>
  <si>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</si>
  <si>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</si>
  <si>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</si>
  <si>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</si>
  <si>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</si>
  <si>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</si>
  <si>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</si>
  <si>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</si>
  <si>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</si>
  <si>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</si>
  <si>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</si>
  <si>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</si>
  <si>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</si>
  <si>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</si>
  <si>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</si>
  <si>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</si>
  <si>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</si>
  <si>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</si>
  <si>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</si>
  <si>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</si>
  <si>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</si>
  <si>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</si>
  <si>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</si>
  <si>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</si>
  <si>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</si>
  <si>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</si>
  <si>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</si>
  <si>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</si>
  <si>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</si>
  <si>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</si>
  <si>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</si>
  <si>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</si>
  <si>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</si>
  <si>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</si>
  <si>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</si>
  <si>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</si>
  <si>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</si>
  <si>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</si>
  <si>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</si>
  <si>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</si>
  <si>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</si>
  <si>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</si>
  <si>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</si>
  <si>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</si>
  <si>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</si>
  <si>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</si>
  <si>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</si>
  <si>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</si>
  <si>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</si>
  <si>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</si>
  <si>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</si>
  <si>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</si>
  <si>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</si>
  <si>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</si>
  <si>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</si>
  <si>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</si>
  <si>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</si>
  <si>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</si>
  <si>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</si>
  <si>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</si>
  <si>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</si>
  <si>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</si>
  <si>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</si>
  <si>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</si>
  <si>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</si>
  <si>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</si>
  <si>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</si>
  <si>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</si>
  <si>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</si>
  <si>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</si>
  <si>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</si>
  <si>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</si>
  <si>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</si>
  <si>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</si>
  <si>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</si>
  <si>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</si>
  <si>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</si>
  <si>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</si>
  <si>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</si>
  <si>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</si>
  <si>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</si>
  <si>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</si>
  <si>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</si>
  <si>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</si>
  <si>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</si>
  <si>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</si>
  <si>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</si>
  <si>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</si>
  <si>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</si>
  <si>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</si>
  <si>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</si>
  <si>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</si>
  <si>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</si>
  <si>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</si>
  <si>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</si>
  <si>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</si>
  <si>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</si>
  <si>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</si>
  <si>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</si>
  <si>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</si>
  <si>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</si>
  <si>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</si>
  <si>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</si>
  <si>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</si>
  <si>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</si>
  <si>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</si>
  <si>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</si>
  <si>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</si>
  <si>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</si>
  <si>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</si>
  <si>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</si>
  <si>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</si>
  <si>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</si>
  <si>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</si>
  <si>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</si>
  <si>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</si>
  <si>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</si>
  <si>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</si>
  <si>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</si>
  <si>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</si>
  <si>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</si>
  <si>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</si>
  <si>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</si>
  <si>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</si>
  <si>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</si>
  <si>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</si>
  <si>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</si>
  <si>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</si>
  <si>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</si>
  <si>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</si>
  <si>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</si>
  <si>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</si>
  <si>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</si>
  <si>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</si>
  <si>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</si>
  <si>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</si>
  <si>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</si>
  <si>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</si>
  <si>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</si>
  <si>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</si>
  <si>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</si>
  <si>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</si>
  <si>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</si>
  <si>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</si>
  <si>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</si>
  <si>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</si>
  <si>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</si>
  <si>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</si>
  <si>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</si>
  <si>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</si>
  <si>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</si>
  <si>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</si>
  <si>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</si>
  <si>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</si>
  <si>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</si>
  <si>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</si>
  <si>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</si>
  <si>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</si>
  <si>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</si>
  <si>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</si>
  <si>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</si>
  <si>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</si>
  <si>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</si>
  <si>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</si>
  <si>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</si>
  <si>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</si>
  <si>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</si>
  <si>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</si>
  <si>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</si>
  <si>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</si>
  <si>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</si>
  <si>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</si>
  <si>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</si>
  <si>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</si>
  <si>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</si>
  <si>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</si>
  <si>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</si>
  <si>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</si>
  <si>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</si>
  <si>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</si>
  <si>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</si>
  <si>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</si>
  <si>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</si>
  <si>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</si>
  <si>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</si>
  <si>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</si>
  <si>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</si>
  <si>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</si>
  <si>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</si>
  <si>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</si>
  <si>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</si>
  <si>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</si>
  <si>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</si>
  <si>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</si>
  <si>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</si>
  <si>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</si>
  <si>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</si>
  <si>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</si>
  <si>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</si>
  <si>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</si>
  <si>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</si>
  <si>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</si>
  <si>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</si>
  <si>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</si>
  <si>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</si>
  <si>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</si>
  <si>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</si>
  <si>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</si>
  <si>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</si>
  <si>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</si>
  <si>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</si>
  <si>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</si>
  <si>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</si>
  <si>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</si>
  <si>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</si>
  <si>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</si>
  <si>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</si>
  <si>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</si>
  <si>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</si>
  <si>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</si>
  <si>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</si>
  <si>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</si>
  <si>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</si>
  <si>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</si>
  <si>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</si>
  <si>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</si>
  <si>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</si>
  <si>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</si>
  <si>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</si>
  <si>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</si>
  <si>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</si>
  <si>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</si>
  <si>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</si>
  <si>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</si>
  <si>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</si>
  <si>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</si>
  <si>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</si>
  <si>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</si>
  <si>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</si>
  <si>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</si>
  <si>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</si>
  <si>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</si>
  <si>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</si>
  <si>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</si>
  <si>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</si>
  <si>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</si>
  <si>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</si>
  <si>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</si>
  <si>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</si>
  <si>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</si>
  <si>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</si>
  <si>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</si>
  <si>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</si>
  <si>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</si>
  <si>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</si>
  <si>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</si>
  <si>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</si>
  <si>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</si>
  <si>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</si>
  <si>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</si>
  <si>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</si>
  <si>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</si>
  <si>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</si>
  <si>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</si>
  <si>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</si>
  <si>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</si>
  <si>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</si>
  <si>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</si>
  <si>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</si>
  <si>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</si>
  <si>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</si>
  <si>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</si>
  <si>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</si>
  <si>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</si>
  <si>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</si>
  <si>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</si>
  <si>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</si>
  <si>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</si>
  <si>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</si>
  <si>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</si>
  <si>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</si>
  <si>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</si>
  <si>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</si>
  <si>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</si>
  <si>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</si>
  <si>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</si>
  <si>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</si>
  <si>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</si>
  <si>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</si>
  <si>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</si>
  <si>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</si>
  <si>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</si>
  <si>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</si>
  <si>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</si>
  <si>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</si>
  <si>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</si>
  <si>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</si>
  <si>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</si>
  <si>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</si>
  <si>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</si>
  <si>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</si>
  <si>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</si>
  <si>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</si>
  <si>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</si>
  <si>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</si>
  <si>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</si>
  <si>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</si>
  <si>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</si>
  <si>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</si>
  <si>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</si>
  <si>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</si>
  <si>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</si>
  <si>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</si>
  <si>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</si>
  <si>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</si>
  <si>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</si>
  <si>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</si>
  <si>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</si>
  <si>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</si>
  <si>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</si>
  <si>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</si>
  <si>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</si>
  <si>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</si>
  <si>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</si>
  <si>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</si>
  <si>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</si>
  <si>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</si>
  <si>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</si>
  <si>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</si>
  <si>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</si>
  <si>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</si>
  <si>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</si>
  <si>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</si>
  <si>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</si>
  <si>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</si>
  <si>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</si>
  <si>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</si>
  <si>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</si>
  <si>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</si>
  <si>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</si>
  <si>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</si>
  <si>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</si>
  <si>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</si>
  <si>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</si>
  <si>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</si>
  <si>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</si>
  <si>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</si>
  <si>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</si>
  <si>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</si>
  <si>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</si>
  <si>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</si>
  <si>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</si>
  <si>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</si>
  <si>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</si>
  <si>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</si>
  <si>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</si>
  <si>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</si>
  <si>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</si>
  <si>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</si>
  <si>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</si>
  <si>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</si>
  <si>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</si>
  <si>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</si>
  <si>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</si>
  <si>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</si>
  <si>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</si>
  <si>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</si>
  <si>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</si>
  <si>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</si>
  <si>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</si>
  <si>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</si>
  <si>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</si>
  <si>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</si>
  <si>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</si>
  <si>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</si>
  <si>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</si>
  <si>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</si>
  <si>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</si>
  <si>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</si>
  <si>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</si>
  <si>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</si>
  <si>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</si>
  <si>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</si>
  <si>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</si>
  <si>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</si>
  <si>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</si>
  <si>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</si>
  <si>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</si>
  <si>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</si>
  <si>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</si>
  <si>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</si>
  <si>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</si>
  <si>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</si>
  <si>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</si>
  <si>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</si>
  <si>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</si>
  <si>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</si>
  <si>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</si>
  <si>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</si>
  <si>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</si>
  <si>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</si>
  <si>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</si>
  <si>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</si>
  <si>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</si>
  <si>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</si>
  <si>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</si>
  <si>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</si>
  <si>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</si>
  <si>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</si>
  <si>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</si>
  <si>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</si>
  <si>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</si>
  <si>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</si>
  <si>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</si>
  <si>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</si>
  <si>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</si>
  <si>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</si>
  <si>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</si>
  <si>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</si>
  <si>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</si>
  <si>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</si>
  <si>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</si>
  <si>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</si>
  <si>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</si>
  <si>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</si>
  <si>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</si>
  <si>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</si>
  <si>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</si>
  <si>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</si>
  <si>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</si>
  <si>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</si>
  <si>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</si>
  <si>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</si>
  <si>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</si>
  <si>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</si>
  <si>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</si>
  <si>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</si>
  <si>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</si>
  <si>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</si>
  <si>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</si>
  <si>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</si>
  <si>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</si>
  <si>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</si>
  <si>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</si>
  <si>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</si>
  <si>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</si>
  <si>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</si>
  <si>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</si>
  <si>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</si>
  <si>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</si>
  <si>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</si>
  <si>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</si>
  <si>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</si>
  <si>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</si>
  <si>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</si>
  <si>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</si>
  <si>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</si>
  <si>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</si>
  <si>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</si>
  <si>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</si>
  <si>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</si>
  <si>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</si>
  <si>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</si>
  <si>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</si>
  <si>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</si>
  <si>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</si>
  <si>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</si>
  <si>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</si>
  <si>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</si>
  <si>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</si>
  <si>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</si>
  <si>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</si>
  <si>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</si>
  <si>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</si>
  <si>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</si>
  <si>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</si>
  <si>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</si>
  <si>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</si>
  <si>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</si>
  <si>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</si>
  <si>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</si>
  <si>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</si>
  <si>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</si>
  <si>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</si>
  <si>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</si>
  <si>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</si>
  <si>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</si>
  <si>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</si>
  <si>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</si>
  <si>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</si>
  <si>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</si>
  <si>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</si>
  <si>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</si>
  <si>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</si>
  <si>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</si>
  <si>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</si>
  <si>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</si>
  <si>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</si>
  <si>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</si>
  <si>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</si>
  <si>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</si>
  <si>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</si>
  <si>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</si>
  <si>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</si>
  <si>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</si>
  <si>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</si>
  <si>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</si>
  <si>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</si>
  <si>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</si>
  <si>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</si>
  <si>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</si>
  <si>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</si>
  <si>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</si>
  <si>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</si>
  <si>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</si>
  <si>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</si>
  <si>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</si>
  <si>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</si>
  <si>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</si>
  <si>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</si>
  <si>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</si>
  <si>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</si>
  <si>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</si>
  <si>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</si>
  <si>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</si>
  <si>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</si>
  <si>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</si>
  <si>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</si>
  <si>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</si>
  <si>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</si>
  <si>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</si>
  <si>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</si>
  <si>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</si>
  <si>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</si>
  <si>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</si>
  <si>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</si>
  <si>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</si>
  <si>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</si>
  <si>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</si>
  <si>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</si>
  <si>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</si>
  <si>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</si>
  <si>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</si>
  <si>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</si>
  <si>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</si>
  <si>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</si>
  <si>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</si>
  <si>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</si>
  <si>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</si>
  <si>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</si>
  <si>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</si>
  <si>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</si>
  <si>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</si>
  <si>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</si>
  <si>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</si>
  <si>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</si>
  <si>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</si>
  <si>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</si>
  <si>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</si>
  <si>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</si>
  <si>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</si>
  <si>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</si>
  <si>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</si>
  <si>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</si>
  <si>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</si>
  <si>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</si>
  <si>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</si>
  <si>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</si>
  <si>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</si>
  <si>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</si>
  <si>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</si>
  <si>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</si>
  <si>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</si>
  <si>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</si>
  <si>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</si>
  <si>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</si>
  <si>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</si>
  <si>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</si>
  <si>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</si>
  <si>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</si>
  <si>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</si>
  <si>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</si>
  <si>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</si>
  <si>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</si>
  <si>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</si>
  <si>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</si>
  <si>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</si>
  <si>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</si>
  <si>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</si>
  <si>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</si>
  <si>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</si>
  <si>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</si>
  <si>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</si>
  <si>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</si>
  <si>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</si>
  <si>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</si>
  <si>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</si>
  <si>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</si>
  <si>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</si>
  <si>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</si>
  <si>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</si>
  <si>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</si>
  <si>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</si>
  <si>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</si>
  <si>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</si>
  <si>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</si>
  <si>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</si>
  <si>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</si>
  <si>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</si>
  <si>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</si>
  <si>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</si>
  <si>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</si>
  <si>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</si>
  <si>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</si>
  <si>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</si>
  <si>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</si>
  <si>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</si>
  <si>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</si>
  <si>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</si>
  <si>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</si>
  <si>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</si>
  <si>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</si>
  <si>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</si>
  <si>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</si>
  <si>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</si>
  <si>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</si>
  <si>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</si>
  <si>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</si>
  <si>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</si>
  <si>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</si>
  <si>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</si>
  <si>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</si>
  <si>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</si>
  <si>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</si>
  <si>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</si>
  <si>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</si>
  <si>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</si>
  <si>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</si>
  <si>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</si>
  <si>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</si>
  <si>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</si>
  <si>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</si>
  <si>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</si>
  <si>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</si>
  <si>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</si>
  <si>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</si>
  <si>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</si>
  <si>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</si>
  <si>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</si>
  <si>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</si>
  <si>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</si>
  <si>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</si>
  <si>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</si>
  <si>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</si>
  <si>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</si>
  <si>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</si>
  <si>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</si>
  <si>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</si>
  <si>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</si>
  <si>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</si>
  <si>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</si>
  <si>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</si>
  <si>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</si>
  <si>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</si>
  <si>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</si>
  <si>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</si>
  <si>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</si>
  <si>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</si>
  <si>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</si>
  <si>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</si>
  <si>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</si>
  <si>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</si>
  <si>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</si>
  <si>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</si>
  <si>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</si>
  <si>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</si>
  <si>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</si>
  <si>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</si>
  <si>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</si>
  <si>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</si>
  <si>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</si>
  <si>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</si>
  <si>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</si>
  <si>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</si>
  <si>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</si>
  <si>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</si>
  <si>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</si>
  <si>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</si>
  <si>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</si>
  <si>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</si>
  <si>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</si>
  <si>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</si>
  <si>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</si>
  <si>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</si>
  <si>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</si>
  <si>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</si>
  <si>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</si>
  <si>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</si>
  <si>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</si>
  <si>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</si>
  <si>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</si>
  <si>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</si>
  <si>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</si>
  <si>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</si>
  <si>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</si>
  <si>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</si>
  <si>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</si>
  <si>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</si>
  <si>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</si>
  <si>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</si>
  <si>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</si>
  <si>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</si>
  <si>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</si>
  <si>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</si>
  <si>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</si>
  <si>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</si>
  <si>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</si>
  <si>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</si>
  <si>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</si>
  <si>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</si>
  <si>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</si>
  <si>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</si>
  <si>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</si>
  <si>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</si>
  <si>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</si>
  <si>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</si>
  <si>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</si>
  <si>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</si>
  <si>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</si>
  <si>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</si>
  <si>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</si>
  <si>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</si>
  <si>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hours.</t>
  </si>
  <si>
    <t>Report 1 : Working Hours</t>
  </si>
  <si>
    <t>Sum of Active With Cust.</t>
  </si>
  <si>
    <t xml:space="preserve">           </t>
  </si>
  <si>
    <t>Abdul Hamid</t>
  </si>
  <si>
    <t>Afzal Husain</t>
  </si>
  <si>
    <t>Anamika Gupta</t>
  </si>
  <si>
    <t>Anikuttan</t>
  </si>
  <si>
    <t>Anil Kumar</t>
  </si>
  <si>
    <t>Anita Dixit</t>
  </si>
  <si>
    <t>Anita Ghore</t>
  </si>
  <si>
    <t>Anjali Deoram</t>
  </si>
  <si>
    <t>Anjali Sahay</t>
  </si>
  <si>
    <t>Annu Latika</t>
  </si>
  <si>
    <t>Anoop Narayan</t>
  </si>
  <si>
    <t>Anoop Raj</t>
  </si>
  <si>
    <t>Anubhuti Gupta</t>
  </si>
  <si>
    <t>Arun Kumar</t>
  </si>
  <si>
    <t>Ashish Kumar</t>
  </si>
  <si>
    <t>Ashok Mahto</t>
  </si>
  <si>
    <t>Atul Kumar</t>
  </si>
  <si>
    <t>Azam</t>
  </si>
  <si>
    <t>Bhagwat Singh</t>
  </si>
  <si>
    <t>Bindu Nair</t>
  </si>
  <si>
    <t>Daleep Singh</t>
  </si>
  <si>
    <t>Deepak Kumar</t>
  </si>
  <si>
    <t>Deepika Nigam</t>
  </si>
  <si>
    <t>Dinesh Kumar</t>
  </si>
  <si>
    <t>Hari Kumar</t>
  </si>
  <si>
    <t>Heeramani Choudhary</t>
  </si>
  <si>
    <t>Indra Pal</t>
  </si>
  <si>
    <t>Indra Singh</t>
  </si>
  <si>
    <t>Jagdish Chandra</t>
  </si>
  <si>
    <t>Jairaj Vatham</t>
  </si>
  <si>
    <t>Janardan Mishra</t>
  </si>
  <si>
    <t>Jitendra Kumar</t>
  </si>
  <si>
    <t>John D'Costa</t>
  </si>
  <si>
    <t>Julie S</t>
  </si>
  <si>
    <t>Jyoti Tulsani</t>
  </si>
  <si>
    <t>Kahkasha Parveen</t>
  </si>
  <si>
    <t>Kailash Nath</t>
  </si>
  <si>
    <t>Kalpana Agrawal</t>
  </si>
  <si>
    <t>Kamini Kumar</t>
  </si>
  <si>
    <t>Kamini Tiwari</t>
  </si>
  <si>
    <t>Kavita Sharma</t>
  </si>
  <si>
    <t>Kiran Khubchandani</t>
  </si>
  <si>
    <t>Kisun Sah</t>
  </si>
  <si>
    <t>Krishana Kumar</t>
  </si>
  <si>
    <t>Kunj Bihari</t>
  </si>
  <si>
    <t>Leena George</t>
  </si>
  <si>
    <t>Lilly Lucy</t>
  </si>
  <si>
    <t>Mangal Singh</t>
  </si>
  <si>
    <t>Manisha Shrivastava</t>
  </si>
  <si>
    <t>Manjusha Sinha</t>
  </si>
  <si>
    <t>ManjuTiwari Lab</t>
  </si>
  <si>
    <t>Masroor Adil</t>
  </si>
  <si>
    <t>Meena Zinjare</t>
  </si>
  <si>
    <t>Mehnaz Khan</t>
  </si>
  <si>
    <t>Mercy Thampi</t>
  </si>
  <si>
    <t>Miny Mole</t>
  </si>
  <si>
    <t>Mohd Rafi</t>
  </si>
  <si>
    <t>Mubeen Khan</t>
  </si>
  <si>
    <t>Mukesh Nagar</t>
  </si>
  <si>
    <t>Nandu Kumar</t>
  </si>
  <si>
    <t>Narayan Singh</t>
  </si>
  <si>
    <t>Neeraj Saxena</t>
  </si>
  <si>
    <t>Neeru Mehta</t>
  </si>
  <si>
    <t>Nikita Panwalkar</t>
  </si>
  <si>
    <t>Nitin Bhatia</t>
  </si>
  <si>
    <t>Om Prakash</t>
  </si>
  <si>
    <t>Omprakash O</t>
  </si>
  <si>
    <t>Owais Mohd</t>
  </si>
  <si>
    <t>Pankaj Shelkey</t>
  </si>
  <si>
    <t>Partha Sarathi</t>
  </si>
  <si>
    <t>Prabha Desikan</t>
  </si>
  <si>
    <t>Pramod Tiwari</t>
  </si>
  <si>
    <t>Prasannakumari S</t>
  </si>
  <si>
    <t>Praveen Kumar</t>
  </si>
  <si>
    <t>Rachel Mathew</t>
  </si>
  <si>
    <t>Rachita Anupam</t>
  </si>
  <si>
    <t>Rachna Chauhan</t>
  </si>
  <si>
    <t>Raj Kumar</t>
  </si>
  <si>
    <t>Rajeev Garg</t>
  </si>
  <si>
    <t>Rajeev Kumar</t>
  </si>
  <si>
    <t>Rajendra Gupta</t>
  </si>
  <si>
    <t>Rajendra Kumar</t>
  </si>
  <si>
    <t>Rajendra Prasad</t>
  </si>
  <si>
    <t>Rajesh Sharma</t>
  </si>
  <si>
    <t>Raji Abraham</t>
  </si>
  <si>
    <t>Rajshree Dhabekar</t>
  </si>
  <si>
    <t>Rakhi Jodhani</t>
  </si>
  <si>
    <t>Ramji Prasad</t>
  </si>
  <si>
    <t>Rashid</t>
  </si>
  <si>
    <t>Rashmi Gajbe</t>
  </si>
  <si>
    <t>Ravi Kumar</t>
  </si>
  <si>
    <t>Ravinder Kaur</t>
  </si>
  <si>
    <t>Rekha Agarwal</t>
  </si>
  <si>
    <t>Rekha Gupta</t>
  </si>
  <si>
    <t xml:space="preserve">Rekha Jain </t>
  </si>
  <si>
    <t>Renu Pratap</t>
  </si>
  <si>
    <t>Ritu Bhatnagar</t>
  </si>
  <si>
    <t>Rohit Nishchal</t>
  </si>
  <si>
    <t>Roli Bhatnagar</t>
  </si>
  <si>
    <t>Roma Rastogi</t>
  </si>
  <si>
    <t>Roohi Haider</t>
  </si>
  <si>
    <t>Sajid Naqvi</t>
  </si>
  <si>
    <t>Salim</t>
  </si>
  <si>
    <t>Sanjay Hire</t>
  </si>
  <si>
    <t>Sanjiv Subherwal</t>
  </si>
  <si>
    <t>Sanju Ramdas</t>
  </si>
  <si>
    <t>Sapna Sharma</t>
  </si>
  <si>
    <t>Saroj Parita</t>
  </si>
  <si>
    <t>Shailaja Kamal</t>
  </si>
  <si>
    <t>Shailendra Barge</t>
  </si>
  <si>
    <t>Shankar Attendant</t>
  </si>
  <si>
    <t>Shashikant Tiwari</t>
  </si>
  <si>
    <t>Sheeba Joseph</t>
  </si>
  <si>
    <t>Sheena Joseph</t>
  </si>
  <si>
    <t>Shephali Jain</t>
  </si>
  <si>
    <t>Shivji Prasad</t>
  </si>
  <si>
    <t>Shubhanjali Joshi</t>
  </si>
  <si>
    <t>Shyamal Malakar</t>
  </si>
  <si>
    <t>Sneh Khan</t>
  </si>
  <si>
    <t>Sonaram Munda</t>
  </si>
  <si>
    <t>Sudama Kumar</t>
  </si>
  <si>
    <t>Sudhir Kumar</t>
  </si>
  <si>
    <t>Sunita Chawla</t>
  </si>
  <si>
    <t>Sunita Madnani</t>
  </si>
  <si>
    <t>Surendra Kumar</t>
  </si>
  <si>
    <t>Surendranath Thakur</t>
  </si>
  <si>
    <t>Sushma Khandelwal</t>
  </si>
  <si>
    <t>Swarnlata Borse</t>
  </si>
  <si>
    <t>Syed Naved</t>
  </si>
  <si>
    <t>Syed Saqib</t>
  </si>
  <si>
    <t>Syed Sohail</t>
  </si>
  <si>
    <t>System Operator</t>
  </si>
  <si>
    <t>Tahira Qureshi</t>
  </si>
  <si>
    <t>Tapas Chakraborty</t>
  </si>
  <si>
    <t>Tariq Akhlaq</t>
  </si>
  <si>
    <t>Tasneem Khan</t>
  </si>
  <si>
    <t>Sum of Total Number of woking hours</t>
  </si>
  <si>
    <t>REPORT : 1 WORKING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</si>
</sst>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Geometr212 BkCn BT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0"/>
      <name val="Bahnschrift SemiCondensed"/>
      <family val="2"/>
    </font>
    <font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3" fillId="0" borderId="0" xfId="0" applyFont="1"/>
    <xf numFmtId="10" fontId="0" fillId="0" borderId="0" xfId="0" applyNumberFormat="1"/>
    <xf numFmtId="49" fontId="9" fillId="3" borderId="3" xfId="0" applyNumberFormat="1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 wrapText="1"/>
    </xf>
    <xf numFmtId="49" fontId="5" fillId="3" borderId="1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9" fontId="0" fillId="0" borderId="0" xfId="1" applyFont="1" applyAlignment="1">
      <alignment horizontal="right"/>
    </xf>
    <xf numFmtId="165" fontId="0" fillId="0" borderId="0" xfId="0" applyNumberFormat="1" applyAlignment="1">
      <alignment horizontal="right"/>
    </xf>
    <xf numFmtId="0" fontId="12" fillId="7" borderId="0" xfId="0" applyFont="1" applyFill="1"/>
    <xf numFmtId="0" fontId="12" fillId="0" borderId="0" xfId="0" applyFont="1"/>
    <xf numFmtId="0" fontId="8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Practice DATA From Learn More.xlsm]Dashboard!PivotTable4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Dashboard!$B$5:$B$9</c:f>
              <c:numCache>
                <c:formatCode>[$-F400]h:mm:ss\ AM/PM</c:formatCode>
                <c:ptCount val="5"/>
                <c:pt idx="0">
                  <c:v>1.3668402777777777</c:v>
                </c:pt>
                <c:pt idx="1">
                  <c:v>0.66396990740740736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0-4D3D-9A7B-7D3AAE392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155272"/>
        <c:axId val="584152976"/>
      </c:barChart>
      <c:catAx>
        <c:axId val="58415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2976"/>
        <c:crosses val="autoZero"/>
        <c:auto val="1"/>
        <c:lblAlgn val="ctr"/>
        <c:lblOffset val="100"/>
        <c:noMultiLvlLbl val="0"/>
      </c:catAx>
      <c:valAx>
        <c:axId val="58415297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8415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Practice DATA From Learn More.xlsm]Dashboard!PivotTable5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F41-46DA-899F-1149082FF8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F41-46DA-899F-1149082FF8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F41-46DA-899F-1149082FF8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F41-46DA-899F-1149082FF80B}"/>
              </c:ext>
            </c:extLst>
          </c:dPt>
          <c:cat>
            <c:strRef>
              <c:f>Dashboard!$D$5:$D$8</c:f>
              <c:strCache>
                <c:ptCount val="4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           </c:v>
                </c:pt>
              </c:strCache>
            </c:strRef>
          </c:cat>
          <c:val>
            <c:numRef>
              <c:f>Dashboard!$E$5:$E$8</c:f>
              <c:numCache>
                <c:formatCode>0.00%</c:formatCode>
                <c:ptCount val="4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3FD-BD7A-E42E4BD7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Practice DATA From Learn More.xlsm]Dashboard 2!PivotTable1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383564123450086"/>
          <c:y val="0.15545215938916726"/>
          <c:w val="0.78616435876549917"/>
          <c:h val="0.622899864789628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'Dashboard 2'!$B$4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2'!$A$5:$A$9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'Dashboard 2'!$B$5:$B$9</c:f>
              <c:numCache>
                <c:formatCode>[$-F400]h:mm:ss\ AM/PM</c:formatCode>
                <c:ptCount val="5"/>
                <c:pt idx="0">
                  <c:v>1.3668402777777777</c:v>
                </c:pt>
                <c:pt idx="1">
                  <c:v>0.66396990740740736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7F-4C08-B298-8C82B6A0E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9822687"/>
        <c:axId val="1090329279"/>
      </c:barChart>
      <c:catAx>
        <c:axId val="1969822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0329279"/>
        <c:crosses val="autoZero"/>
        <c:auto val="1"/>
        <c:lblAlgn val="ctr"/>
        <c:lblOffset val="100"/>
        <c:noMultiLvlLbl val="0"/>
      </c:catAx>
      <c:valAx>
        <c:axId val="1090329279"/>
        <c:scaling>
          <c:orientation val="minMax"/>
        </c:scaling>
        <c:delete val="0"/>
        <c:axPos val="l"/>
        <c:numFmt formatCode="[$-F400]h:mm:ss\ AM/P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822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5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4"/>
</file>

<file path=xl/ctrlProps/ctrlProp2.xml><?xml version="1.0" encoding="utf-8"?>
<formControlPr xmlns="http://schemas.microsoft.com/office/spreadsheetml/2009/9/main" objectType="Spin" dx="26" fmlaLink="$C$1" max="200" min="1" page="10" val="4"/>
</file>

<file path=xl/ctrlProps/ctrlProp3.xml><?xml version="1.0" encoding="utf-8"?>
<formControlPr xmlns="http://schemas.microsoft.com/office/spreadsheetml/2009/9/main" objectType="Spin" dx="26" fmlaLink="$C$2" max="200" min="1" page="10" val="4"/>
</file>

<file path=xl/ctrlProps/ctrlProp4.xml><?xml version="1.0" encoding="utf-8"?>
<formControlPr xmlns="http://schemas.microsoft.com/office/spreadsheetml/2009/9/main" objectType="Spin" dx="26" fmlaLink="$C$2" max="200" min="1" page="10" val="4"/>
</file>

<file path=xl/ctrlProps/ctrlProp5.xml><?xml version="1.0" encoding="utf-8"?>
<formControlPr xmlns="http://schemas.microsoft.com/office/spreadsheetml/2009/9/main" objectType="Spin" dx="22" fmlaLink="$E$2" max="30000" min="1" page="10" val="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676273</xdr:colOff>
      <xdr:row>0</xdr:row>
      <xdr:rowOff>33337</xdr:rowOff>
    </xdr:from>
    <xdr:to>
      <xdr:col>1</xdr:col>
      <xdr:colOff>1223960</xdr:colOff>
      <xdr:row>1</xdr:row>
      <xdr:rowOff>147637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581148" y="33337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r"/>
          <a:fld id="{774D0C37-BB47-4A84-8FB0-0F57A13E953F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r"/>
            <a:t>4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0</xdr:col>
      <xdr:colOff>14288</xdr:colOff>
      <xdr:row>9</xdr:row>
      <xdr:rowOff>14287</xdr:rowOff>
    </xdr:from>
    <xdr:to>
      <xdr:col>2</xdr:col>
      <xdr:colOff>0</xdr:colOff>
      <xdr:row>18</xdr:row>
      <xdr:rowOff>160734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0</xdr:row>
      <xdr:rowOff>42862</xdr:rowOff>
    </xdr:from>
    <xdr:to>
      <xdr:col>0</xdr:col>
      <xdr:colOff>800100</xdr:colOff>
      <xdr:row>1</xdr:row>
      <xdr:rowOff>142875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847726</xdr:colOff>
      <xdr:row>0</xdr:row>
      <xdr:rowOff>33337</xdr:rowOff>
    </xdr:from>
    <xdr:to>
      <xdr:col>1</xdr:col>
      <xdr:colOff>352425</xdr:colOff>
      <xdr:row>1</xdr:row>
      <xdr:rowOff>148473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840561</xdr:colOff>
      <xdr:row>0</xdr:row>
      <xdr:rowOff>33341</xdr:rowOff>
    </xdr:from>
    <xdr:to>
      <xdr:col>1</xdr:col>
      <xdr:colOff>346086</xdr:colOff>
      <xdr:row>1</xdr:row>
      <xdr:rowOff>149074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57150</xdr:rowOff>
        </xdr:from>
        <xdr:to>
          <xdr:col>1</xdr:col>
          <xdr:colOff>847725</xdr:colOff>
          <xdr:row>1</xdr:row>
          <xdr:rowOff>133350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1238248</xdr:colOff>
      <xdr:row>0</xdr:row>
      <xdr:rowOff>38100</xdr:rowOff>
    </xdr:from>
    <xdr:to>
      <xdr:col>1</xdr:col>
      <xdr:colOff>2166937</xdr:colOff>
      <xdr:row>1</xdr:row>
      <xdr:rowOff>138113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2143123" y="38100"/>
          <a:ext cx="928689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1952625</xdr:colOff>
          <xdr:row>9</xdr:row>
          <xdr:rowOff>66675</xdr:rowOff>
        </xdr:from>
        <xdr:to>
          <xdr:col>1</xdr:col>
          <xdr:colOff>2085975</xdr:colOff>
          <xdr:row>10</xdr:row>
          <xdr:rowOff>152400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371473</xdr:colOff>
      <xdr:row>0</xdr:row>
      <xdr:rowOff>23812</xdr:rowOff>
    </xdr:from>
    <xdr:to>
      <xdr:col>4</xdr:col>
      <xdr:colOff>919160</xdr:colOff>
      <xdr:row>1</xdr:row>
      <xdr:rowOff>138112</xdr:rowOff>
    </xdr:to>
    <xdr:sp macro="" textlink="$C$2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5138736" y="23812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marL="0" indent="0" algn="r"/>
          <a:fld id="{DD4CCE9D-3890-468F-B53D-1FDCF6D55C50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ea typeface="+mn-ea"/>
              <a:cs typeface="Calibri"/>
            </a:rPr>
            <a:pPr marL="0" indent="0" algn="r"/>
            <a:t>4</a:t>
          </a:fld>
          <a:endParaRPr lang="en-US" sz="2000" b="0" i="0" u="none" strike="noStrike">
            <a:solidFill>
              <a:srgbClr val="000000"/>
            </a:solidFill>
            <a:latin typeface="Bahnschrift SemiBold SemiConden" panose="020B0502040204020203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9525</xdr:colOff>
      <xdr:row>0</xdr:row>
      <xdr:rowOff>42862</xdr:rowOff>
    </xdr:from>
    <xdr:to>
      <xdr:col>3</xdr:col>
      <xdr:colOff>800100</xdr:colOff>
      <xdr:row>1</xdr:row>
      <xdr:rowOff>142875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oneCellAnchor>
    <xdr:from>
      <xdr:col>3</xdr:col>
      <xdr:colOff>847726</xdr:colOff>
      <xdr:row>0</xdr:row>
      <xdr:rowOff>33337</xdr:rowOff>
    </xdr:from>
    <xdr:ext cx="409574" cy="296111"/>
    <xdr:pic macro="[0]!Hide_Chart8"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3</xdr:col>
      <xdr:colOff>840561</xdr:colOff>
      <xdr:row>0</xdr:row>
      <xdr:rowOff>33341</xdr:rowOff>
    </xdr:from>
    <xdr:ext cx="410400" cy="296708"/>
    <xdr:pic macro="[0]!Show_Chart1">
      <xdr:nvPicPr>
        <xdr:cNvPr id="16" name="Picture 15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47625</xdr:rowOff>
        </xdr:from>
        <xdr:to>
          <xdr:col>4</xdr:col>
          <xdr:colOff>552450</xdr:colOff>
          <xdr:row>1</xdr:row>
          <xdr:rowOff>123825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981075</xdr:colOff>
      <xdr:row>0</xdr:row>
      <xdr:rowOff>38100</xdr:rowOff>
    </xdr:from>
    <xdr:to>
      <xdr:col>5</xdr:col>
      <xdr:colOff>1905</xdr:colOff>
      <xdr:row>1</xdr:row>
      <xdr:rowOff>138113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5748338" y="38100"/>
          <a:ext cx="949642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 editAs="oneCell">
    <xdr:from>
      <xdr:col>3</xdr:col>
      <xdr:colOff>850085</xdr:colOff>
      <xdr:row>0</xdr:row>
      <xdr:rowOff>33341</xdr:rowOff>
    </xdr:from>
    <xdr:to>
      <xdr:col>3</xdr:col>
      <xdr:colOff>1260485</xdr:colOff>
      <xdr:row>1</xdr:row>
      <xdr:rowOff>149074</xdr:rowOff>
    </xdr:to>
    <xdr:pic macro="[0]!Show_Chart8">
      <xdr:nvPicPr>
        <xdr:cNvPr id="19" name="Picture 18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8135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3</xdr:col>
      <xdr:colOff>23813</xdr:colOff>
      <xdr:row>8</xdr:row>
      <xdr:rowOff>176211</xdr:rowOff>
    </xdr:from>
    <xdr:to>
      <xdr:col>4</xdr:col>
      <xdr:colOff>1890713</xdr:colOff>
      <xdr:row>18</xdr:row>
      <xdr:rowOff>166686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1666875</xdr:colOff>
          <xdr:row>9</xdr:row>
          <xdr:rowOff>76200</xdr:rowOff>
        </xdr:from>
        <xdr:to>
          <xdr:col>4</xdr:col>
          <xdr:colOff>1809750</xdr:colOff>
          <xdr:row>10</xdr:row>
          <xdr:rowOff>152400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180975</xdr:rowOff>
    </xdr:from>
    <xdr:to>
      <xdr:col>2</xdr:col>
      <xdr:colOff>19050</xdr:colOff>
      <xdr:row>27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17214</xdr:colOff>
      <xdr:row>0</xdr:row>
      <xdr:rowOff>137711</xdr:rowOff>
    </xdr:from>
    <xdr:to>
      <xdr:col>0</xdr:col>
      <xdr:colOff>694292</xdr:colOff>
      <xdr:row>1</xdr:row>
      <xdr:rowOff>266126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7214" y="137711"/>
          <a:ext cx="677078" cy="369409"/>
        </a:xfrm>
        <a:prstGeom prst="rightArrow">
          <a:avLst>
            <a:gd name="adj1" fmla="val 100000"/>
            <a:gd name="adj2" fmla="val 65232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CHART</a:t>
          </a:r>
          <a:endParaRPr lang="en-US" sz="500"/>
        </a:p>
      </xdr:txBody>
    </xdr:sp>
    <xdr:clientData/>
  </xdr:twoCellAnchor>
  <xdr:twoCellAnchor editAs="oneCell">
    <xdr:from>
      <xdr:col>0</xdr:col>
      <xdr:colOff>786149</xdr:colOff>
      <xdr:row>0</xdr:row>
      <xdr:rowOff>91807</xdr:rowOff>
    </xdr:from>
    <xdr:to>
      <xdr:col>1</xdr:col>
      <xdr:colOff>469637</xdr:colOff>
      <xdr:row>1</xdr:row>
      <xdr:rowOff>298569</xdr:rowOff>
    </xdr:to>
    <xdr:pic macro="[0]!Module1.Show_Chart1"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149" y="91807"/>
          <a:ext cx="635988" cy="447756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0</xdr:col>
      <xdr:colOff>755374</xdr:colOff>
      <xdr:row>0</xdr:row>
      <xdr:rowOff>86069</xdr:rowOff>
    </xdr:from>
    <xdr:to>
      <xdr:col>1</xdr:col>
      <xdr:colOff>460908</xdr:colOff>
      <xdr:row>1</xdr:row>
      <xdr:rowOff>271774</xdr:rowOff>
    </xdr:to>
    <xdr:pic macro="[0]!Module3.close_chart1"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374" y="86069"/>
          <a:ext cx="658034" cy="426699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883643</xdr:colOff>
      <xdr:row>0</xdr:row>
      <xdr:rowOff>80331</xdr:rowOff>
    </xdr:from>
    <xdr:to>
      <xdr:col>1</xdr:col>
      <xdr:colOff>1503342</xdr:colOff>
      <xdr:row>1</xdr:row>
      <xdr:rowOff>350015</xdr:rowOff>
    </xdr:to>
    <xdr:sp macro="" textlink="$E$2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836143" y="80331"/>
          <a:ext cx="619699" cy="510678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5EB4435A-603E-4EE6-8DAE-26248017BDEE}" type="TxLink">
            <a:rPr lang="en-US" sz="20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</a:t>
          </a:fld>
          <a:endParaRPr lang="en-US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904875</xdr:colOff>
          <xdr:row>0</xdr:row>
          <xdr:rowOff>95250</xdr:rowOff>
        </xdr:from>
        <xdr:to>
          <xdr:col>1</xdr:col>
          <xdr:colOff>1114425</xdr:colOff>
          <xdr:row>1</xdr:row>
          <xdr:rowOff>352425</xdr:rowOff>
        </xdr:to>
        <xdr:sp macro="" textlink="">
          <xdr:nvSpPr>
            <xdr:cNvPr id="6146" name="Spinner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1526295</xdr:colOff>
      <xdr:row>0</xdr:row>
      <xdr:rowOff>154924</xdr:rowOff>
    </xdr:from>
    <xdr:to>
      <xdr:col>1</xdr:col>
      <xdr:colOff>2335346</xdr:colOff>
      <xdr:row>1</xdr:row>
      <xdr:rowOff>292635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 flipH="1">
          <a:off x="2478795" y="154924"/>
          <a:ext cx="809051" cy="378705"/>
        </a:xfrm>
        <a:prstGeom prst="rightArrow">
          <a:avLst>
            <a:gd name="adj1" fmla="val 100000"/>
            <a:gd name="adj2" fmla="val 65232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RECORDS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 refreshError="1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85.329296180556" createdVersion="6" refreshedVersion="6" minRefreshableVersion="3" recordCount="149" xr:uid="{7DF73A30-72A8-4DF3-AA3C-8DE3CF863C22}">
  <cacheSource type="worksheet">
    <worksheetSource ref="A1:G150" sheet="Summary"/>
  </cacheSource>
  <cacheFields count="7">
    <cacheField name="Employee" numFmtId="0">
      <sharedItems count="149">
        <s v="Mum_Abdul Hamid (1008512)"/>
        <s v="Mum_Afzal Husain (1008513)"/>
        <s v="Mum_Anamika Gupta (1008514)"/>
        <s v="Mum_Anikuttan (1008515)"/>
        <s v="Mum_Anil Kumar (1008516)"/>
        <s v="Mum_Anita Dixit (1008517)"/>
        <s v="Mum_Anita Ghore (1008518)"/>
        <s v="Mum_Anjali Deoram (1008519)"/>
        <s v="Mum_Anjali Sahay (1008520)"/>
        <s v="Mum_Annu Latika (1008521)"/>
        <s v="Mum_Anoop Narayan (1008522)"/>
        <s v="Mum_Anoop Raj (1008523)"/>
        <s v="Mum_Anubhuti Gupta (1008524)"/>
        <s v="Mum_Arun Kumar (1008525)"/>
        <s v="Mum_Ashish Kumar (1008526)"/>
        <s v="Mum_Ashok Kumar (1008527)"/>
        <s v="Hyd_Ashok Kumar (1008528)"/>
        <s v="Hyd_Ashok Kumar (1008529)"/>
        <s v="Hyd_Ashok Kumar (1008530)"/>
        <s v="Hyd_Ashok Mahto (1008531)"/>
        <s v="Hyd_Atul Kumar (1008532)"/>
        <s v="Hyd_Azam (1008533)"/>
        <s v="Hyd_Bhagwat Singh (1008534)"/>
        <s v="Hyd_Bindu Nair (1008535)"/>
        <s v="Hyd_Daleep Singh (1008536)"/>
        <s v="Hyd_Deepak Kumar (1008537)"/>
        <s v="Hyd_Deepika Nigam (1008538)"/>
        <s v="Hyd_Dinesh Kumar (1008539)"/>
        <s v="Hyd_Hari Kumar (1008540)"/>
        <s v="Hyd_Heeramani Choudhary (1008541)"/>
        <s v="Hyd_Indra Pal (1008542)"/>
        <s v="Hyd_Indra Singh (1008543)"/>
        <s v="Hyd_Jagdish Chandra (1008544)"/>
        <s v="Hyd_Jairaj Vatham (1008545)"/>
        <s v="Hyd_Janardan Mishra (1008546)"/>
        <s v="Hyd_Jitendra Kumar (1008547)"/>
        <s v="Hyd_John D'Costa (1008548)"/>
        <s v="Hyd_Julie S (1008549)"/>
        <s v="Hyd_Jyoti Tulsani (1008550)"/>
        <s v="Hyd_Kahkasha Parveen (1008551)"/>
        <s v="Hyd_Kailash Nath (1008552)"/>
        <s v="Hyd_Kalpana Agrawal (1008553)"/>
        <s v="Hyd_Kamini Kumar (1008554)"/>
        <s v="Hyd_Kamini Tiwari (1008555)"/>
        <s v="Hyd_Kavita Sharma (1008556)"/>
        <s v="Hyd_Kiran Khubchandani (1008557)"/>
        <s v="Hyd_Kisun Sah (1008558)"/>
        <s v="Hyd_Krishana Kumar (1008559)"/>
        <s v="Hyd_Kunj Bihari (1008560)"/>
        <s v="Hyd_Leena George (1008561)"/>
        <s v="Hyd_Lilly Lucy (1008562)"/>
        <s v="Hyd_Mangal Singh (1008563)"/>
        <s v="Hyd_Manisha Shrivastava (1008564)"/>
        <s v="Hyd_Manjusha Sinha (1008565)"/>
        <s v="Hyd_ManjuTiwari Lab (1008566)"/>
        <s v="Hyd_Manoj Kumar (1008567)"/>
        <s v="Hyd_Manoj Kumar (1008568)"/>
        <s v="Hyd_Masroor Adil (1008569)"/>
        <s v="Hyd_Meena Zinjare (1008570)"/>
        <s v="Hyd_Mehnaz Khan (1008571)"/>
        <s v="Hyd_Mercy Thampi (1008572)"/>
        <s v="Hyd_Miny Mole (1008573)"/>
        <s v="Hyd_Mohd Rafi (1008574)"/>
        <s v="Hyd_Mubeen Khan (1008575)"/>
        <s v="Hyd_Mukesh Nagar (1008576)"/>
        <s v="Hyd_Nandu Kumar (1008577)"/>
        <s v="Hyd_Narayan Singh (1008578)"/>
        <s v="Hyd_Neeraj Saxena (1008579)"/>
        <s v="Hyd_Neeru Mehta (1008580)"/>
        <s v="Hyd_Nikita Panwalkar (1008581)"/>
        <s v="Hyd_Nitin Bhatia (1008582)"/>
        <s v="Hyd_Om Prakash (1008583)"/>
        <s v="Hyd_Omprakash O (1008584)"/>
        <s v="Hyd_Owais Mohd (1008585)"/>
        <s v="Hyd_Pankaj Shelkey (1008586)"/>
        <s v="Hyd_Partha Sarathi (1008587)"/>
        <s v="Hyd_Prabha Desikan (1008588)"/>
        <s v="Hyd_Pramod Tiwari (1008589)"/>
        <s v="Hyd_Prasannakumari S (1008590)"/>
        <s v="Hyd_Praveen Kumar (1008591)"/>
        <s v="Hyd_Rachel Mathew (1008592)"/>
        <s v="Hyd_Rachita Anupam (1008593)"/>
        <s v="Hyd_Rachna Chauhan (1008594)"/>
        <s v="Hyd_Raj Kumar (1008595)"/>
        <s v="Hyd_Rajeev Garg (1008596)"/>
        <s v="Hyd_Rajeev Kumar (1008597)"/>
        <s v="Hyd_Rajendra Gupta (1008598)"/>
        <s v="Hyd_Rajendra Kumar (1008599)"/>
        <s v="Hyd_Rajendra Prasad (1008600)"/>
        <s v="Hyd_Rajesh Kumar (1008601)"/>
        <s v="Hyd_Rajesh Kumar (1008602)"/>
        <s v="Hyd_Rajesh Sharma (1008603)"/>
        <s v="Hyd_Raji Abraham (1008604)"/>
        <s v="Hyd_Rajshree Dhabekar (1008605)"/>
        <s v="Hyd_Rakhi Jodhani (1008606)"/>
        <s v="Hyd_Ramji Prasad (1008607)"/>
        <s v="Del_Rashid (1008608)"/>
        <s v="Del_Rashmi Gajbe (1008609)"/>
        <s v="Del_Ravi Kumar (1008610)"/>
        <s v="Del_Ravinder Kaur (1008611)"/>
        <s v="Del_Rekha Agarwal (1008612)"/>
        <s v="Del_Rekha Gupta (1008613)"/>
        <s v="Del_Rekha Jain  (1008614)"/>
        <s v="Del_Renu Pratap (1008615)"/>
        <s v="Del_Ritu Bhatnagar (1008616)"/>
        <s v="Del_Rohit Nishchal (1008617)"/>
        <s v="Del_Roli Bhatnagar (1008618)"/>
        <s v="Del_Roma Rastogi (1008619)"/>
        <s v="Del_Roohi Haider (1008620)"/>
        <s v="Del_Sajid Naqvi (1008621)"/>
        <s v="Del_Salim (1008622)"/>
        <s v="Del_Sanjay Hire (1008623)"/>
        <s v="Del_Sanjiv Subherwal (1008624)"/>
        <s v="Del_Sanju Ramdas (1008625)"/>
        <s v="Del_Santosh Kumar (1008626)"/>
        <s v="Del_Santosh Kumar (1008627)"/>
        <s v="Del_Santosh Kumar (1008628)"/>
        <s v="Del_Sapna Sharma (1008629)"/>
        <s v="Del_Saroj Parita (1008630)"/>
        <s v="Del_Shailaja Kamal (1008631)"/>
        <s v="Del_Shailendra Barge (1008632)"/>
        <s v="Del_Shankar Attendant (1008633)"/>
        <s v="Del_Shashikant Tiwari (1008634)"/>
        <s v="Del_Sheeba Joseph (1008635)"/>
        <s v="Del_Sheena Joseph (1008636)"/>
        <s v="Del_Shephali Jain (1008637)"/>
        <s v="Del_Shivji Prasad (1008638)"/>
        <s v="Del_Shubhanjali Joshi (1008639)"/>
        <s v="Del_Shyamal Malakar (1008640)"/>
        <s v="Del_Sneh Khan (1008641)"/>
        <s v="Del_Sonaram Munda (1008642)"/>
        <s v="Del_Sudama Kumar (1008643)"/>
        <s v="Del_Sudhir Kumar (1008644)"/>
        <s v="Del_Sunil Kumar (1008645)"/>
        <s v="Del_Sunil Kumar (1008646)"/>
        <s v="Del_Sunita Chawla (1008647)"/>
        <s v="Del_Sunita Madnani (1008648)"/>
        <s v="Del_Surendra Kumar (1008649)"/>
        <s v="Del_Surendranath Thakur (1008650)"/>
        <s v="Del_Sushma Khandelwal (1008651)"/>
        <s v="Del_Swarnlata Borse (1008652)"/>
        <s v="Del_Syed Naved (1008653)"/>
        <s v="Del_Syed Saqib (1008654)"/>
        <s v="Del_Syed Sohail (1008655)"/>
        <s v="Del_System Operator (1008656)"/>
        <s v="Del_Tahira Qureshi (1008657)"/>
        <s v="Del_Tapas Chakraborty (1008658)"/>
        <s v="Del_Tariq Akhlaq (1008659)"/>
        <s v="Del_Tasneem Khan (1008660)"/>
      </sharedItems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 count="82">
        <n v="98"/>
        <n v="23"/>
        <n v="28"/>
        <n v="29"/>
        <n v="93"/>
        <n v="92"/>
        <n v="26"/>
        <n v="90"/>
        <n v="89"/>
        <n v="54"/>
        <n v="87"/>
        <n v="65"/>
        <n v="85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4"/>
        <n v="63"/>
        <n v="62"/>
        <n v="61"/>
        <n v="60"/>
        <n v="59"/>
        <n v="58"/>
        <n v="57"/>
        <n v="56"/>
        <n v="55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84"/>
        <n v="86"/>
        <n v="88"/>
        <n v="91"/>
        <n v="94"/>
        <n v="95"/>
        <n v="96"/>
        <n v="97"/>
        <n v="99"/>
        <n v="100"/>
        <n v="101"/>
        <n v="102"/>
        <n v="103"/>
        <n v="104"/>
        <n v="105"/>
        <n v="106"/>
        <n v="107"/>
      </sharedItems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x v="0"/>
    <x v="0"/>
    <d v="1899-12-30T08:15:43"/>
    <d v="1899-12-30T04:57:59"/>
    <d v="1899-12-30T01:08:42"/>
    <x v="0"/>
    <n v="0.55697138822580095"/>
  </r>
  <r>
    <x v="1"/>
    <x v="1"/>
    <d v="1899-12-30T08:15:36"/>
    <d v="1899-12-30T04:58:34"/>
    <d v="1899-12-30T01:09:59"/>
    <x v="1"/>
    <n v="0.58027306967984904"/>
  </r>
  <r>
    <x v="2"/>
    <x v="2"/>
    <d v="1899-12-30T08:16:57"/>
    <d v="1899-12-30T04:49:35"/>
    <d v="1899-12-30T01:13:54"/>
    <x v="2"/>
    <n v="0.51708756749505302"/>
  </r>
  <r>
    <x v="3"/>
    <x v="3"/>
    <d v="1899-12-30T08:09:56"/>
    <d v="1899-12-30T04:17:32"/>
    <d v="1899-12-30T02:19:02"/>
    <x v="3"/>
    <n v="0.47720778337188702"/>
  </r>
  <r>
    <x v="4"/>
    <x v="4"/>
    <d v="1899-12-30T07:20:41"/>
    <d v="1899-12-30T03:19:44"/>
    <d v="1899-12-30T03:04:58"/>
    <x v="4"/>
    <n v="0.43288831738587802"/>
  </r>
  <r>
    <x v="5"/>
    <x v="5"/>
    <d v="1899-12-30T05:00:09"/>
    <d v="1899-12-30T03:41:19"/>
    <d v="1899-12-30T00:27:07"/>
    <x v="5"/>
    <n v="0.65495030262646503"/>
  </r>
  <r>
    <x v="6"/>
    <x v="6"/>
    <d v="1899-12-30T08:16:38"/>
    <d v="1899-12-30T04:12:46"/>
    <d v="1899-12-30T02:41:42"/>
    <x v="6"/>
    <n v="0.49476474931203401"/>
  </r>
  <r>
    <x v="7"/>
    <x v="7"/>
    <d v="1899-12-30T09:16:31"/>
    <d v="1899-12-30T05:52:08"/>
    <d v="1899-12-30T01:13:10"/>
    <x v="7"/>
    <n v="0.55128627474469205"/>
  </r>
  <r>
    <x v="8"/>
    <x v="8"/>
    <d v="1899-12-30T08:13:18"/>
    <d v="1899-12-30T04:52:29"/>
    <d v="1899-12-30T01:06:39"/>
    <x v="8"/>
    <n v="0.55206432867085597"/>
  </r>
  <r>
    <x v="9"/>
    <x v="9"/>
    <d v="1899-12-30T08:20:41"/>
    <d v="1899-12-30T04:58:07"/>
    <d v="1899-12-30T01:09:57"/>
    <x v="9"/>
    <n v="0.56868945774108703"/>
  </r>
  <r>
    <x v="10"/>
    <x v="10"/>
    <d v="1899-12-30T08:10:35"/>
    <d v="1899-12-30T04:55:28"/>
    <d v="1899-12-30T01:09:15"/>
    <x v="10"/>
    <n v="0.56035332087650802"/>
  </r>
  <r>
    <x v="11"/>
    <x v="11"/>
    <d v="1899-12-30T08:04:10"/>
    <d v="1899-12-30T03:47:42"/>
    <d v="1899-12-30T03:01:18"/>
    <x v="11"/>
    <n v="0.41552495697073999"/>
  </r>
  <r>
    <x v="12"/>
    <x v="12"/>
    <d v="1899-12-30T08:14:38"/>
    <d v="1899-12-30T04:43:40"/>
    <d v="1899-12-30T02:06:41"/>
    <x v="12"/>
    <n v="0.50026955994339195"/>
  </r>
  <r>
    <x v="13"/>
    <x v="13"/>
    <d v="1899-12-30T07:59:50"/>
    <d v="1899-12-30T04:40:27"/>
    <d v="1899-12-30T01:10:34"/>
    <x v="11"/>
    <n v="0.51396318166029897"/>
  </r>
  <r>
    <x v="14"/>
    <x v="14"/>
    <d v="1899-12-30T08:16:59"/>
    <d v="1899-12-30T04:57:35"/>
    <d v="1899-12-30T01:16:59"/>
    <x v="13"/>
    <n v="0.510580502364264"/>
  </r>
  <r>
    <x v="15"/>
    <x v="15"/>
    <d v="1899-12-30T08:17:15"/>
    <d v="1899-12-30T04:10:25"/>
    <d v="1899-12-30T02:24:20"/>
    <x v="14"/>
    <n v="0.48292274174627098"/>
  </r>
  <r>
    <x v="16"/>
    <x v="15"/>
    <d v="1899-12-30T07:53:01"/>
    <d v="1899-12-30T04:44:12"/>
    <d v="1899-12-30T00:56:29"/>
    <x v="15"/>
    <n v="0.57362319861879396"/>
  </r>
  <r>
    <x v="17"/>
    <x v="15"/>
    <d v="1899-12-30T08:16:43"/>
    <d v="1899-12-30T04:58:07"/>
    <d v="1899-12-30T01:10:07"/>
    <x v="16"/>
    <n v="0.56430560681810604"/>
  </r>
  <r>
    <x v="18"/>
    <x v="15"/>
    <d v="1899-12-30T08:21:16"/>
    <d v="1899-12-30T04:23:03"/>
    <d v="1899-12-30T02:40:10"/>
    <x v="17"/>
    <n v="0.46974331693044302"/>
  </r>
  <r>
    <x v="19"/>
    <x v="16"/>
    <d v="1899-12-30T08:17:52"/>
    <d v="1899-12-30T04:58:14"/>
    <d v="1899-12-30T01:14:30"/>
    <x v="18"/>
    <n v="0.57495313336904097"/>
  </r>
  <r>
    <x v="20"/>
    <x v="17"/>
    <d v="1899-12-30T08:13:41"/>
    <d v="1899-12-30T04:53:40"/>
    <d v="1899-12-30T01:06:59"/>
    <x v="19"/>
    <n v="0.57945376590932096"/>
  </r>
  <r>
    <x v="21"/>
    <x v="18"/>
    <d v="1899-12-30T08:17:34"/>
    <d v="1899-12-30T04:59:50"/>
    <d v="1899-12-30T01:09:47"/>
    <x v="20"/>
    <n v="0.588296375695049"/>
  </r>
  <r>
    <x v="22"/>
    <x v="19"/>
    <d v="1899-12-30T07:41:44"/>
    <d v="1899-12-30T04:08:57"/>
    <d v="1899-12-30T02:10:18"/>
    <x v="21"/>
    <n v="0.46267686976609901"/>
  </r>
  <r>
    <x v="23"/>
    <x v="20"/>
    <d v="1899-12-30T08:10:04"/>
    <d v="1899-12-30T04:14:05"/>
    <d v="1899-12-30T02:11:17"/>
    <x v="22"/>
    <n v="0.478030199972793"/>
  </r>
  <r>
    <x v="24"/>
    <x v="21"/>
    <d v="1899-12-30T08:14:20"/>
    <d v="1899-12-30T05:26:56"/>
    <d v="1899-12-30T01:12:54"/>
    <x v="23"/>
    <n v="0.59983142279163904"/>
  </r>
  <r>
    <x v="25"/>
    <x v="22"/>
    <d v="1899-12-30T07:35:57"/>
    <d v="1899-12-30T05:05:16"/>
    <d v="1899-12-30T00:30:30"/>
    <x v="24"/>
    <n v="0.65029060203969702"/>
  </r>
  <r>
    <x v="26"/>
    <x v="23"/>
    <d v="1899-12-30T08:16:59"/>
    <d v="1899-12-30T04:56:45"/>
    <d v="1899-12-30T01:11:40"/>
    <x v="25"/>
    <n v="0.55001844461584903"/>
  </r>
  <r>
    <x v="27"/>
    <x v="24"/>
    <d v="1899-12-30T08:13:53"/>
    <d v="1899-12-30T05:06:20"/>
    <d v="1899-12-30T01:10:03"/>
    <x v="26"/>
    <n v="0.51334660682347399"/>
  </r>
  <r>
    <x v="28"/>
    <x v="25"/>
    <d v="1899-12-30T08:15:11"/>
    <d v="1899-12-30T04:11:43"/>
    <d v="1899-12-30T02:44:52"/>
    <x v="27"/>
    <n v="0.43603379219817601"/>
  </r>
  <r>
    <x v="29"/>
    <x v="26"/>
    <d v="1899-12-30T07:27:24"/>
    <d v="1899-12-30T04:35:28"/>
    <d v="1899-12-30T01:20:20"/>
    <x v="28"/>
    <n v="0.52954105200417201"/>
  </r>
  <r>
    <x v="30"/>
    <x v="27"/>
    <d v="1899-12-30T07:59:57"/>
    <d v="1899-12-30T05:14:16"/>
    <d v="1899-12-30T01:09:15"/>
    <x v="29"/>
    <n v="0.56446852102649603"/>
  </r>
  <r>
    <x v="31"/>
    <x v="28"/>
    <d v="1899-12-30T08:17:44"/>
    <d v="1899-12-30T05:05:03"/>
    <d v="1899-12-30T02:09:14"/>
    <x v="30"/>
    <n v="0.49789043664612898"/>
  </r>
  <r>
    <x v="32"/>
    <x v="29"/>
    <d v="1899-12-30T08:19:10"/>
    <d v="1899-12-30T04:59:15"/>
    <d v="1899-12-30T01:09:03"/>
    <x v="11"/>
    <n v="0.56270450751252099"/>
  </r>
  <r>
    <x v="33"/>
    <x v="30"/>
    <d v="1899-12-30T08:16:23"/>
    <d v="1899-12-30T05:02:08"/>
    <d v="1899-12-30T01:09:56"/>
    <x v="31"/>
    <n v="0.57680556021891705"/>
  </r>
  <r>
    <x v="34"/>
    <x v="31"/>
    <d v="1899-12-30T07:39:42"/>
    <d v="1899-12-30T04:32:56"/>
    <d v="1899-12-30T01:28:09"/>
    <x v="32"/>
    <n v="0.55728373576970502"/>
  </r>
  <r>
    <x v="35"/>
    <x v="32"/>
    <d v="1899-12-30T08:11:27"/>
    <d v="1899-12-30T04:07:41"/>
    <d v="1899-12-30T02:35:12"/>
    <x v="33"/>
    <n v="0.47590463594126198"/>
  </r>
  <r>
    <x v="36"/>
    <x v="33"/>
    <d v="1899-12-30T08:09:47"/>
    <d v="1899-12-30T04:51:30"/>
    <d v="1899-12-30T01:09:36"/>
    <x v="34"/>
    <n v="0.55636846224520997"/>
  </r>
  <r>
    <x v="37"/>
    <x v="34"/>
    <d v="1899-12-30T08:15:46"/>
    <d v="1899-12-30T04:56:12"/>
    <d v="1899-12-30T01:10:44"/>
    <x v="35"/>
    <n v="0.527970147246689"/>
  </r>
  <r>
    <x v="38"/>
    <x v="35"/>
    <d v="1899-12-30T08:15:19"/>
    <d v="1899-12-30T04:56:56"/>
    <d v="1899-12-30T01:10:27"/>
    <x v="36"/>
    <n v="0.565025741108382"/>
  </r>
  <r>
    <x v="39"/>
    <x v="36"/>
    <d v="1899-12-30T08:17:24"/>
    <d v="1899-12-30T05:25:18"/>
    <d v="1899-12-30T01:10:12"/>
    <x v="37"/>
    <n v="0.48579278917035301"/>
  </r>
  <r>
    <x v="40"/>
    <x v="37"/>
    <d v="1899-12-30T08:16:01"/>
    <d v="1899-12-30T04:58:27"/>
    <d v="1899-12-30T01:07:40"/>
    <x v="38"/>
    <n v="0.572258996673499"/>
  </r>
  <r>
    <x v="41"/>
    <x v="38"/>
    <d v="1899-12-30T08:00:08"/>
    <d v="1899-12-30T03:54:19"/>
    <d v="1899-12-30T02:24:54"/>
    <x v="39"/>
    <n v="0.46542627048042201"/>
  </r>
  <r>
    <x v="42"/>
    <x v="39"/>
    <d v="1899-12-30T05:01:37"/>
    <d v="1899-12-30T03:21:30"/>
    <d v="1899-12-30T00:15:00"/>
    <x v="40"/>
    <n v="0.64380836602751801"/>
  </r>
  <r>
    <x v="43"/>
    <x v="40"/>
    <d v="1899-12-30T08:26:46"/>
    <d v="1899-12-30T05:18:49"/>
    <d v="1899-12-30T01:09:45"/>
    <x v="9"/>
    <n v="0.57347234098533195"/>
  </r>
  <r>
    <x v="44"/>
    <x v="41"/>
    <d v="1899-12-30T07:53:25"/>
    <d v="1899-12-30T05:26:19"/>
    <d v="1899-12-30T00:56:19"/>
    <x v="41"/>
    <n v="0.64717479317021698"/>
  </r>
  <r>
    <x v="45"/>
    <x v="42"/>
    <d v="1899-12-30T08:01:28"/>
    <d v="1899-12-30T04:13:15"/>
    <d v="1899-12-30T02:10:24"/>
    <x v="42"/>
    <n v="0.50443090556632497"/>
  </r>
  <r>
    <x v="46"/>
    <x v="43"/>
    <d v="1899-12-30T08:21:34"/>
    <d v="1899-12-30T05:08:41"/>
    <d v="1899-12-30T01:09:28"/>
    <x v="43"/>
    <n v="0.55280122283511701"/>
  </r>
  <r>
    <x v="47"/>
    <x v="44"/>
    <d v="1899-12-30T08:15:28"/>
    <d v="1899-12-30T04:45:06"/>
    <d v="1899-12-30T01:09:45"/>
    <x v="44"/>
    <n v="0.55493137782561897"/>
  </r>
  <r>
    <x v="48"/>
    <x v="45"/>
    <d v="1899-12-30T07:59:19"/>
    <d v="1899-12-30T04:42:13"/>
    <d v="1899-12-30T01:10:11"/>
    <x v="45"/>
    <n v="0.55217497131332804"/>
  </r>
  <r>
    <x v="49"/>
    <x v="46"/>
    <d v="1899-12-30T04:56:13"/>
    <d v="1899-12-30T03:10:50"/>
    <d v="1899-12-30T00:18:10"/>
    <x v="46"/>
    <n v="0.58819557756147001"/>
  </r>
  <r>
    <x v="50"/>
    <x v="47"/>
    <d v="1899-12-30T07:45:23"/>
    <d v="1899-12-30T04:39:06"/>
    <d v="1899-12-30T01:14:44"/>
    <x v="47"/>
    <n v="0.55534863732407003"/>
  </r>
  <r>
    <x v="51"/>
    <x v="48"/>
    <d v="1899-12-30T08:00:13"/>
    <d v="1899-12-30T04:46:25"/>
    <d v="1899-12-30T01:10:04"/>
    <x v="48"/>
    <n v="0.55815083469267301"/>
  </r>
  <r>
    <x v="52"/>
    <x v="49"/>
    <d v="1899-12-30T08:09:49"/>
    <d v="1899-12-30T04:51:12"/>
    <d v="1899-12-30T01:10:09"/>
    <x v="49"/>
    <n v="0.53002824185919895"/>
  </r>
  <r>
    <x v="53"/>
    <x v="50"/>
    <d v="1899-12-30T08:14:05"/>
    <d v="1899-12-30T05:04:01"/>
    <d v="1899-12-30T01:10:39"/>
    <x v="50"/>
    <n v="0.54639905548996504"/>
  </r>
  <r>
    <x v="54"/>
    <x v="51"/>
    <d v="1899-12-30T07:41:28"/>
    <d v="1899-12-30T04:26:11"/>
    <d v="1899-12-30T01:10:46"/>
    <x v="51"/>
    <n v="0.52849609939323905"/>
  </r>
  <r>
    <x v="55"/>
    <x v="52"/>
    <d v="1899-12-30T08:00:44"/>
    <d v="1899-12-30T04:28:58"/>
    <d v="1899-12-30T01:09:53"/>
    <x v="52"/>
    <n v="0.53279711551795905"/>
  </r>
  <r>
    <x v="56"/>
    <x v="52"/>
    <d v="1899-12-30T07:55:23"/>
    <d v="1899-12-30T04:29:51"/>
    <d v="1899-12-30T01:15:59"/>
    <x v="53"/>
    <n v="0.53150089401535605"/>
  </r>
  <r>
    <x v="57"/>
    <x v="53"/>
    <d v="1899-12-30T08:10:04"/>
    <d v="1899-12-30T05:04:35"/>
    <d v="1899-12-30T01:11:39"/>
    <x v="54"/>
    <n v="0.58954564004897303"/>
  </r>
  <r>
    <x v="58"/>
    <x v="54"/>
    <d v="1899-12-30T08:05:29"/>
    <d v="1899-12-30T03:09:32"/>
    <d v="1899-12-30T03:34:45"/>
    <x v="55"/>
    <n v="0.34903360911806097"/>
  </r>
  <r>
    <x v="59"/>
    <x v="55"/>
    <d v="1899-12-30T08:14:51"/>
    <d v="1899-12-30T04:08:21"/>
    <d v="1899-12-30T02:12:24"/>
    <x v="56"/>
    <n v="0.47933717288067101"/>
  </r>
  <r>
    <x v="60"/>
    <x v="56"/>
    <d v="1899-12-30T05:15:35"/>
    <d v="1899-12-30T03:38:44"/>
    <d v="1899-12-30T00:15:35"/>
    <x v="57"/>
    <n v="0.62762080802746201"/>
  </r>
  <r>
    <x v="61"/>
    <x v="57"/>
    <d v="1899-12-30T08:12:10"/>
    <d v="1899-12-30T04:14:06"/>
    <d v="1899-12-30T02:13:07"/>
    <x v="58"/>
    <n v="0.47561801557737898"/>
  </r>
  <r>
    <x v="62"/>
    <x v="58"/>
    <d v="1899-12-30T08:00:32"/>
    <d v="1899-12-30T03:55:15"/>
    <d v="1899-12-30T02:38:29"/>
    <x v="59"/>
    <n v="0.43635543840177599"/>
  </r>
  <r>
    <x v="63"/>
    <x v="59"/>
    <d v="1899-12-30T07:55:35"/>
    <d v="1899-12-30T03:50:43"/>
    <d v="1899-12-30T02:24:38"/>
    <x v="60"/>
    <n v="0.451270369721395"/>
  </r>
  <r>
    <x v="64"/>
    <x v="60"/>
    <d v="1899-12-30T05:01:07"/>
    <d v="1899-12-30T03:13:40"/>
    <d v="1899-12-30T00:29:34"/>
    <x v="61"/>
    <n v="0.61244257486024201"/>
  </r>
  <r>
    <x v="65"/>
    <x v="61"/>
    <d v="1899-12-30T08:21:39"/>
    <d v="1899-12-30T04:43:39"/>
    <d v="1899-12-30T01:14:03"/>
    <x v="62"/>
    <n v="0.51755872288115901"/>
  </r>
  <r>
    <x v="66"/>
    <x v="62"/>
    <d v="1899-12-30T08:19:29"/>
    <d v="1899-12-30T04:54:19"/>
    <d v="1899-12-30T01:08:27"/>
    <x v="63"/>
    <n v="0.55550735760285597"/>
  </r>
  <r>
    <x v="67"/>
    <x v="63"/>
    <d v="1899-12-30T08:21:13"/>
    <d v="1899-12-30T04:36:09"/>
    <d v="1899-12-30T02:15:18"/>
    <x v="64"/>
    <n v="0.45535862734013899"/>
  </r>
  <r>
    <x v="68"/>
    <x v="64"/>
    <d v="1899-12-30T08:02:20"/>
    <d v="1899-12-30T04:44:15"/>
    <d v="1899-12-30T01:10:03"/>
    <x v="3"/>
    <n v="0.53445058742225304"/>
  </r>
  <r>
    <x v="69"/>
    <x v="65"/>
    <d v="1899-12-30T08:16:46"/>
    <d v="1899-12-30T04:58:45"/>
    <d v="1899-12-30T01:37:25"/>
    <x v="2"/>
    <n v="0.55914916459773201"/>
  </r>
  <r>
    <x v="70"/>
    <x v="66"/>
    <d v="1899-12-30T08:00:37"/>
    <d v="1899-12-30T04:44:56"/>
    <d v="1899-12-30T01:09:53"/>
    <x v="3"/>
    <n v="0.56847106148351101"/>
  </r>
  <r>
    <x v="71"/>
    <x v="67"/>
    <d v="1899-12-30T07:55:44"/>
    <d v="1899-12-30T04:26:21"/>
    <d v="1899-12-30T01:36:03"/>
    <x v="64"/>
    <n v="0.47509108744394601"/>
  </r>
  <r>
    <x v="72"/>
    <x v="68"/>
    <d v="1899-12-30T08:09:43"/>
    <d v="1899-12-30T04:02:05"/>
    <d v="1899-12-30T02:11:54"/>
    <x v="63"/>
    <n v="0.47578531804104401"/>
  </r>
  <r>
    <x v="73"/>
    <x v="69"/>
    <d v="1899-12-30T08:01:11"/>
    <d v="1899-12-30T04:02:50"/>
    <d v="1899-12-30T02:26:26"/>
    <x v="62"/>
    <n v="0.46898271622042897"/>
  </r>
  <r>
    <x v="74"/>
    <x v="70"/>
    <d v="1899-12-30T08:15:54"/>
    <d v="1899-12-30T04:26:54"/>
    <d v="1899-12-30T01:55:26"/>
    <x v="61"/>
    <n v="0.51361161524500898"/>
  </r>
  <r>
    <x v="75"/>
    <x v="71"/>
    <d v="1899-12-30T08:32:22"/>
    <d v="1899-12-30T05:11:39"/>
    <d v="1899-12-30T01:38:42"/>
    <x v="60"/>
    <n v="0.525112224318522"/>
  </r>
  <r>
    <x v="76"/>
    <x v="72"/>
    <d v="1899-12-30T08:21:49"/>
    <d v="1899-12-30T03:03:51"/>
    <d v="1899-12-30T04:11:26"/>
    <x v="59"/>
    <n v="0.348600086352918"/>
  </r>
  <r>
    <x v="77"/>
    <x v="73"/>
    <d v="1899-12-30T08:25:20"/>
    <d v="1899-12-30T02:54:03"/>
    <d v="1899-12-30T04:21:06"/>
    <x v="58"/>
    <n v="0.314709762532982"/>
  </r>
  <r>
    <x v="78"/>
    <x v="74"/>
    <d v="1899-12-30T08:08:02"/>
    <d v="1899-12-30T05:10:46"/>
    <d v="1899-12-30T01:10:25"/>
    <x v="57"/>
    <n v="0.55600710333993597"/>
  </r>
  <r>
    <x v="79"/>
    <x v="75"/>
    <d v="1899-12-30T08:19:20"/>
    <d v="1899-12-30T04:08:46"/>
    <d v="1899-12-30T02:37:28"/>
    <x v="56"/>
    <n v="0.46221628838451301"/>
  </r>
  <r>
    <x v="80"/>
    <x v="76"/>
    <d v="1899-12-30T08:25:36"/>
    <d v="1899-12-30T03:40:53"/>
    <d v="1899-12-30T03:20:01"/>
    <x v="55"/>
    <n v="0.39075685654008402"/>
  </r>
  <r>
    <x v="81"/>
    <x v="77"/>
    <d v="1899-12-30T08:16:26"/>
    <d v="1899-12-30T05:16:03"/>
    <d v="1899-12-30T01:08:32"/>
    <x v="54"/>
    <n v="0.54713623850130899"/>
  </r>
  <r>
    <x v="82"/>
    <x v="78"/>
    <d v="1899-12-30T07:36:07"/>
    <d v="1899-12-30T05:07:23"/>
    <d v="1899-12-30T00:30:20"/>
    <x v="53"/>
    <n v="0.61457229509993805"/>
  </r>
  <r>
    <x v="83"/>
    <x v="79"/>
    <d v="1899-12-30T08:09:57"/>
    <d v="1899-12-30T05:03:51"/>
    <d v="1899-12-30T01:08:44"/>
    <x v="52"/>
    <n v="0.55335578460387103"/>
  </r>
  <r>
    <x v="84"/>
    <x v="80"/>
    <d v="1899-12-30T08:04:00"/>
    <d v="1899-12-30T05:05:29"/>
    <d v="1899-12-30T01:08:24"/>
    <x v="51"/>
    <n v="0.611363636363636"/>
  </r>
  <r>
    <x v="85"/>
    <x v="81"/>
    <d v="1899-12-30T07:59:43"/>
    <d v="1899-12-30T04:28:51"/>
    <d v="1899-12-30T01:37:06"/>
    <x v="50"/>
    <n v="0.51217732689434703"/>
  </r>
  <r>
    <x v="86"/>
    <x v="82"/>
    <d v="1899-12-30T08:25:57"/>
    <d v="1899-12-30T04:58:12"/>
    <d v="1899-12-30T01:19:08"/>
    <x v="49"/>
    <n v="0.56029910728991705"/>
  </r>
  <r>
    <x v="87"/>
    <x v="83"/>
    <d v="1899-12-30T08:14:44"/>
    <d v="1899-12-30T03:55:22"/>
    <d v="1899-12-30T02:34:16"/>
    <x v="48"/>
    <n v="0.42891793558819602"/>
  </r>
  <r>
    <x v="88"/>
    <x v="84"/>
    <d v="1899-12-30T08:22:34"/>
    <d v="1899-12-30T00:48:33"/>
    <d v="1899-12-30T07:08:19"/>
    <x v="47"/>
    <n v="9.4547987000066294E-2"/>
  </r>
  <r>
    <x v="89"/>
    <x v="85"/>
    <d v="1899-12-30T08:00:39"/>
    <d v="1899-12-30T05:11:50"/>
    <d v="1899-12-30T01:12:04"/>
    <x v="46"/>
    <n v="0.61021533340268397"/>
  </r>
  <r>
    <x v="90"/>
    <x v="85"/>
    <d v="1899-12-30T08:17:39"/>
    <d v="1899-12-30T04:49:40"/>
    <d v="1899-12-30T02:06:35"/>
    <x v="45"/>
    <n v="0.51260926353863201"/>
  </r>
  <r>
    <x v="91"/>
    <x v="86"/>
    <d v="1899-12-30T05:04:31"/>
    <d v="1899-12-30T03:24:21"/>
    <d v="1899-12-30T00:24:27"/>
    <x v="44"/>
    <n v="0.62426796562859199"/>
  </r>
  <r>
    <x v="92"/>
    <x v="87"/>
    <d v="1899-12-30T08:10:41"/>
    <d v="1899-12-30T04:44:35"/>
    <d v="1899-12-30T01:09:28"/>
    <x v="43"/>
    <n v="0.54373153085832704"/>
  </r>
  <r>
    <x v="93"/>
    <x v="88"/>
    <d v="1899-12-30T08:15:13"/>
    <e v="#VALUE!"/>
    <d v="1899-12-30T08:15:09"/>
    <x v="42"/>
    <n v="0"/>
  </r>
  <r>
    <x v="94"/>
    <x v="89"/>
    <d v="1899-12-30T08:02:52"/>
    <d v="1899-12-30T01:13:06"/>
    <d v="1899-12-30T06:39:44"/>
    <x v="41"/>
    <n v="0.14431174927516199"/>
  </r>
  <r>
    <x v="95"/>
    <x v="90"/>
    <d v="1899-12-30T08:19:26"/>
    <d v="1899-12-30T04:53:04"/>
    <d v="1899-12-30T01:13:46"/>
    <x v="9"/>
    <n v="0.55259293866381898"/>
  </r>
  <r>
    <x v="96"/>
    <x v="91"/>
    <d v="1899-12-30T08:02:10"/>
    <d v="1899-12-30T01:36:08"/>
    <d v="1899-12-30T05:45:13"/>
    <x v="40"/>
    <n v="0.18938817836156199"/>
  </r>
  <r>
    <x v="97"/>
    <x v="92"/>
    <d v="1899-12-30T08:20:42"/>
    <d v="1899-12-30T04:16:57"/>
    <d v="1899-12-30T02:04:58"/>
    <x v="39"/>
    <n v="0.47077424938419499"/>
  </r>
  <r>
    <x v="98"/>
    <x v="93"/>
    <d v="1899-12-30T08:00:44"/>
    <d v="1899-12-30T04:47:03"/>
    <d v="1899-12-30T01:11:14"/>
    <x v="38"/>
    <n v="0.53862155040909698"/>
  </r>
  <r>
    <x v="99"/>
    <x v="94"/>
    <d v="1899-12-30T08:01:53"/>
    <d v="1899-12-30T04:38:57"/>
    <d v="1899-12-30T01:09:28"/>
    <x v="37"/>
    <n v="0.53294365856189296"/>
  </r>
  <r>
    <x v="100"/>
    <x v="95"/>
    <d v="1899-12-30T05:53:52"/>
    <d v="1899-12-30T02:53:07"/>
    <d v="1899-12-30T02:41:42"/>
    <x v="36"/>
    <n v="0.41310286360211002"/>
  </r>
  <r>
    <x v="101"/>
    <x v="96"/>
    <d v="1899-12-30T08:16:02"/>
    <d v="1899-12-30T04:22:52"/>
    <d v="1899-12-30T01:50:37"/>
    <x v="35"/>
    <n v="0.50483838451717"/>
  </r>
  <r>
    <x v="102"/>
    <x v="97"/>
    <d v="1899-12-30T08:15:42"/>
    <d v="1899-12-30T04:25:29"/>
    <d v="1899-12-30T01:36:57"/>
    <x v="34"/>
    <n v="0.52390558805729304"/>
  </r>
  <r>
    <x v="103"/>
    <x v="98"/>
    <d v="1899-12-30T08:16:30"/>
    <d v="1899-12-30T02:30:29"/>
    <d v="1899-12-30T05:07:55"/>
    <x v="33"/>
    <n v="0.25444780127559602"/>
  </r>
  <r>
    <x v="104"/>
    <x v="99"/>
    <d v="1899-12-30T08:01:48"/>
    <d v="1899-12-30T04:52:13"/>
    <d v="1899-12-30T01:13:20"/>
    <x v="32"/>
    <n v="0.55517503805174995"/>
  </r>
  <r>
    <x v="105"/>
    <x v="100"/>
    <d v="1899-12-30T08:17:09"/>
    <e v="#VALUE!"/>
    <d v="1899-12-30T08:17:00"/>
    <x v="31"/>
    <n v="0"/>
  </r>
  <r>
    <x v="106"/>
    <x v="101"/>
    <d v="1899-12-30T08:15:43"/>
    <d v="1899-12-30T04:08:30"/>
    <d v="1899-12-30T02:10:16"/>
    <x v="11"/>
    <n v="0.477120667047709"/>
  </r>
  <r>
    <x v="107"/>
    <x v="102"/>
    <d v="1899-12-30T08:31:02"/>
    <d v="1899-12-30T05:35:38"/>
    <d v="1899-12-30T00:53:47"/>
    <x v="30"/>
    <n v="0.61917030852521004"/>
  </r>
  <r>
    <x v="108"/>
    <x v="103"/>
    <d v="1899-12-30T08:00:11"/>
    <d v="1899-12-30T04:52:11"/>
    <d v="1899-12-30T01:09:24"/>
    <x v="29"/>
    <n v="0.55305265350039901"/>
  </r>
  <r>
    <x v="109"/>
    <x v="104"/>
    <d v="1899-12-30T08:15:48"/>
    <d v="1899-12-30T05:00:37"/>
    <d v="1899-12-30T01:08:40"/>
    <x v="28"/>
    <n v="0.56195374478956595"/>
  </r>
  <r>
    <x v="110"/>
    <x v="105"/>
    <d v="1899-12-30T08:15:56"/>
    <d v="1899-12-30T04:37:42"/>
    <d v="1899-12-30T01:59:29"/>
    <x v="27"/>
    <n v="0.48780077967468699"/>
  </r>
  <r>
    <x v="111"/>
    <x v="106"/>
    <d v="1899-12-30T08:15:52"/>
    <d v="1899-12-30T05:00:14"/>
    <d v="1899-12-30T01:09:43"/>
    <x v="26"/>
    <n v="0.55414762032804499"/>
  </r>
  <r>
    <x v="112"/>
    <x v="107"/>
    <d v="1899-12-30T08:02:17"/>
    <d v="1899-12-30T05:06:07"/>
    <d v="1899-12-30T01:10:15"/>
    <x v="25"/>
    <n v="0.58651553374572396"/>
  </r>
  <r>
    <x v="113"/>
    <x v="108"/>
    <d v="1899-12-30T08:15:58"/>
    <d v="1899-12-30T05:19:44"/>
    <d v="1899-12-30T01:13:56"/>
    <x v="24"/>
    <n v="0.58165871362322696"/>
  </r>
  <r>
    <x v="114"/>
    <x v="109"/>
    <d v="1899-12-30T08:00:32"/>
    <d v="1899-12-30T05:03:10"/>
    <d v="1899-12-30T01:09:48"/>
    <x v="23"/>
    <n v="0.59073251942286398"/>
  </r>
  <r>
    <x v="115"/>
    <x v="109"/>
    <d v="1899-12-30T08:17:04"/>
    <d v="1899-12-30T05:09:57"/>
    <d v="1899-12-30T01:10:58"/>
    <x v="22"/>
    <n v="0.58640692060085797"/>
  </r>
  <r>
    <x v="116"/>
    <x v="109"/>
    <d v="1899-12-30T08:02:59"/>
    <d v="1899-12-30T04:44:19"/>
    <d v="1899-12-30T01:12:01"/>
    <x v="21"/>
    <n v="0.54653369681493502"/>
  </r>
  <r>
    <x v="117"/>
    <x v="110"/>
    <d v="1899-12-30T08:04:14"/>
    <d v="1899-12-30T04:33:29"/>
    <d v="1899-12-30T01:32:37"/>
    <x v="20"/>
    <n v="0.53238796723342696"/>
  </r>
  <r>
    <x v="118"/>
    <x v="111"/>
    <d v="1899-12-30T08:01:59"/>
    <d v="1899-12-30T04:31:42"/>
    <d v="1899-12-30T01:45:37"/>
    <x v="19"/>
    <n v="0.47020989660776702"/>
  </r>
  <r>
    <x v="119"/>
    <x v="112"/>
    <d v="1899-12-30T08:09:14"/>
    <d v="1899-12-30T04:51:46"/>
    <d v="1899-12-30T01:08:46"/>
    <x v="18"/>
    <n v="0.54633099407235797"/>
  </r>
  <r>
    <x v="120"/>
    <x v="113"/>
    <d v="1899-12-30T08:17:38"/>
    <d v="1899-12-30T03:26:09"/>
    <d v="1899-12-30T03:43:06"/>
    <x v="17"/>
    <n v="0.38820416638756799"/>
  </r>
  <r>
    <x v="121"/>
    <x v="114"/>
    <d v="1899-12-30T07:57:56"/>
    <d v="1899-12-30T03:27:15"/>
    <d v="1899-12-30T03:15:05"/>
    <x v="16"/>
    <n v="0.40277584042404802"/>
  </r>
  <r>
    <x v="122"/>
    <x v="115"/>
    <d v="1899-12-30T08:14:55"/>
    <d v="1899-12-30T05:19:10"/>
    <d v="1899-12-30T01:09:59"/>
    <x v="15"/>
    <n v="0.54352584610203702"/>
  </r>
  <r>
    <x v="123"/>
    <x v="116"/>
    <d v="1899-12-30T08:30:57"/>
    <d v="1899-12-30T03:41:07"/>
    <d v="1899-12-30T00:55:39"/>
    <x v="14"/>
    <n v="0.28371986821932998"/>
  </r>
  <r>
    <x v="124"/>
    <x v="117"/>
    <d v="1899-12-30T08:49:34"/>
    <d v="1899-12-30T05:10:26"/>
    <d v="1899-12-30T01:41:30"/>
    <x v="13"/>
    <n v="0.56196890539434796"/>
  </r>
  <r>
    <x v="125"/>
    <x v="118"/>
    <d v="1899-12-30T08:25:43"/>
    <d v="1899-12-30T03:41:29"/>
    <d v="1899-12-30T03:23:49"/>
    <x v="65"/>
    <n v="0.40332201825791802"/>
  </r>
  <r>
    <x v="126"/>
    <x v="119"/>
    <d v="1899-12-30T08:11:40"/>
    <d v="1899-12-30T04:12:39"/>
    <d v="1899-12-30T02:17:48"/>
    <x v="12"/>
    <n v="0.43796610169491501"/>
  </r>
  <r>
    <x v="127"/>
    <x v="120"/>
    <d v="1899-12-30T08:17:17"/>
    <d v="1899-12-30T04:54:52"/>
    <d v="1899-12-30T01:19:32"/>
    <x v="66"/>
    <n v="0.55581995508931903"/>
  </r>
  <r>
    <x v="128"/>
    <x v="121"/>
    <d v="1899-12-30T08:15:36"/>
    <d v="1899-12-30T02:53:35"/>
    <d v="1899-12-30T04:35:37"/>
    <x v="10"/>
    <n v="0.326035781544256"/>
  </r>
  <r>
    <x v="129"/>
    <x v="122"/>
    <d v="1899-12-30T08:09:15"/>
    <d v="1899-12-30T05:06:25"/>
    <d v="1899-12-30T01:09:51"/>
    <x v="67"/>
    <n v="0.57404190086867701"/>
  </r>
  <r>
    <x v="130"/>
    <x v="123"/>
    <d v="1899-12-30T08:00:41"/>
    <d v="1899-12-30T04:11:10"/>
    <d v="1899-12-30T01:57:15"/>
    <x v="8"/>
    <n v="0.45359037481363301"/>
  </r>
  <r>
    <x v="131"/>
    <x v="124"/>
    <d v="1899-12-30T08:09:47"/>
    <d v="1899-12-30T02:38:49"/>
    <d v="1899-12-30T04:36:20"/>
    <x v="7"/>
    <n v="0.29689998979140397"/>
  </r>
  <r>
    <x v="132"/>
    <x v="125"/>
    <d v="1899-12-30T08:00:18"/>
    <d v="1899-12-30T04:35:36"/>
    <d v="1899-12-30T01:14:24"/>
    <x v="68"/>
    <n v="0.55729058227496697"/>
  </r>
  <r>
    <x v="133"/>
    <x v="126"/>
    <d v="1899-12-30T08:03:26"/>
    <d v="1899-12-30T02:58:37"/>
    <d v="1899-12-30T03:56:57"/>
    <x v="5"/>
    <n v="0.33279321519685601"/>
  </r>
  <r>
    <x v="134"/>
    <x v="126"/>
    <d v="1899-12-30T08:05:06"/>
    <d v="1899-12-30T04:05:03"/>
    <d v="1899-12-30T02:16:51"/>
    <x v="4"/>
    <n v="0.472308115165258"/>
  </r>
  <r>
    <x v="135"/>
    <x v="127"/>
    <d v="1899-12-30T08:05:25"/>
    <d v="1899-12-30T04:31:57"/>
    <d v="1899-12-30T02:06:43"/>
    <x v="69"/>
    <n v="0.51110729613733896"/>
  </r>
  <r>
    <x v="136"/>
    <x v="128"/>
    <d v="1899-12-30T08:14:02"/>
    <d v="1899-12-30T05:19:12"/>
    <d v="1899-12-30T01:08:15"/>
    <x v="70"/>
    <n v="0.58886040078267299"/>
  </r>
  <r>
    <x v="137"/>
    <x v="129"/>
    <d v="1899-12-30T07:29:10"/>
    <d v="1899-12-30T02:54:25"/>
    <d v="1899-12-30T03:46:52"/>
    <x v="71"/>
    <n v="0.34289424860853401"/>
  </r>
  <r>
    <x v="138"/>
    <x v="130"/>
    <d v="1899-12-30T08:33:53"/>
    <d v="1899-12-30T04:36:50"/>
    <d v="1899-12-30T02:17:05"/>
    <x v="72"/>
    <n v="0.497486459313074"/>
  </r>
  <r>
    <x v="139"/>
    <x v="131"/>
    <d v="1899-12-30T08:15:15"/>
    <d v="1899-12-30T04:50:07"/>
    <d v="1899-12-30T01:10:21"/>
    <x v="0"/>
    <n v="0.52431431936732298"/>
  </r>
  <r>
    <x v="140"/>
    <x v="132"/>
    <d v="1899-12-30T08:19:05"/>
    <d v="1899-12-30T02:59:39"/>
    <d v="1899-12-30T04:32:37"/>
    <x v="73"/>
    <n v="0.31066956086157999"/>
  </r>
  <r>
    <x v="141"/>
    <x v="133"/>
    <d v="1899-12-30T08:13:39"/>
    <d v="1899-12-30T05:24:05"/>
    <d v="1899-12-30T01:14:44"/>
    <x v="74"/>
    <n v="0.58462473412336702"/>
  </r>
  <r>
    <x v="142"/>
    <x v="134"/>
    <d v="1899-12-30T08:24:48"/>
    <d v="1899-12-30T02:52:08"/>
    <d v="1899-12-30T05:03:34"/>
    <x v="75"/>
    <n v="0.31685816164817698"/>
  </r>
  <r>
    <x v="143"/>
    <x v="135"/>
    <d v="1899-12-30T08:17:53"/>
    <d v="1899-12-30T04:51:52"/>
    <d v="1899-12-30T01:12:04"/>
    <x v="76"/>
    <n v="0.56375322197301903"/>
  </r>
  <r>
    <x v="144"/>
    <x v="136"/>
    <d v="1899-12-30T08:30:54"/>
    <d v="1899-12-30T05:15:36"/>
    <d v="1899-12-30T00:56:05"/>
    <x v="77"/>
    <n v="0.54779147908918902"/>
  </r>
  <r>
    <x v="145"/>
    <x v="137"/>
    <d v="1899-12-30T08:46:13"/>
    <d v="1899-12-30T03:36:51"/>
    <d v="1899-12-30T04:02:30"/>
    <x v="78"/>
    <n v="0.37965983593576802"/>
  </r>
  <r>
    <x v="146"/>
    <x v="138"/>
    <d v="1899-12-30T08:14:56"/>
    <d v="1899-12-30T05:15:14"/>
    <d v="1899-12-30T01:12:11"/>
    <x v="79"/>
    <n v="0.56529498922413801"/>
  </r>
  <r>
    <x v="147"/>
    <x v="139"/>
    <d v="1899-12-30T04:59:55"/>
    <d v="1899-12-30T03:08:41"/>
    <d v="1899-12-30T00:15:03"/>
    <x v="80"/>
    <n v="0.60261183662128404"/>
  </r>
  <r>
    <x v="148"/>
    <x v="140"/>
    <d v="1899-12-30T08:33:55"/>
    <d v="1899-12-30T04:38:49"/>
    <d v="1899-12-30T02:16:51"/>
    <x v="81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5D651-A8EF-42FB-95B7-19DA109CACB9}" name="PivotTable5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3">
  <location ref="D4:E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n="           "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4">
    <i>
      <x v="15"/>
    </i>
    <i>
      <x v="52"/>
    </i>
    <i>
      <x v="85"/>
    </i>
    <i>
      <x v="109"/>
    </i>
  </rowItems>
  <colItems count="1">
    <i/>
  </colItems>
  <dataFields count="1">
    <dataField name="Sum of Active With Cust." fld="6" baseField="1" baseItem="0" numFmtId="10"/>
  </dataField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59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64E4A-CBB4-4AF1-8508-D6A089465AE4}" name="PivotTable4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2">
  <location ref="A4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." fld="2" baseField="1" baseItem="15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75F1E-99FC-4178-A75F-F9BD213C23B7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1">
  <location ref="A4:B9" firstHeaderRow="1" firstDataRow="1" firstDataCol="1"/>
  <pivotFields count="7">
    <pivotField showAll="0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>
      <items count="83">
        <item x="1"/>
        <item x="6"/>
        <item x="2"/>
        <item x="3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9"/>
        <item x="40"/>
        <item x="39"/>
        <item x="38"/>
        <item x="37"/>
        <item x="36"/>
        <item x="35"/>
        <item x="34"/>
        <item x="33"/>
        <item x="32"/>
        <item x="31"/>
        <item x="1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65"/>
        <item x="12"/>
        <item x="66"/>
        <item x="10"/>
        <item x="67"/>
        <item x="8"/>
        <item x="7"/>
        <item x="68"/>
        <item x="5"/>
        <item x="4"/>
        <item x="69"/>
        <item x="70"/>
        <item x="71"/>
        <item x="72"/>
        <item x="0"/>
        <item x="73"/>
        <item x="74"/>
        <item x="75"/>
        <item x="76"/>
        <item x="77"/>
        <item x="78"/>
        <item x="79"/>
        <item x="80"/>
        <item x="81"/>
        <item t="default"/>
      </items>
    </pivotField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Total Number of woking hours" fld="2" baseField="1" baseItem="7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topLeftCell="B1" zoomScale="145" zoomScaleNormal="145" workbookViewId="0">
      <selection activeCell="K5" sqref="K5"/>
    </sheetView>
  </sheetViews>
  <sheetFormatPr defaultRowHeight="15"/>
  <cols>
    <col min="1" max="1" width="31.42578125" bestFit="1" customWidth="1"/>
    <col min="2" max="2" width="9.85546875" customWidth="1"/>
    <col min="3" max="3" width="17" customWidth="1"/>
    <col min="4" max="4" width="10" bestFit="1" customWidth="1"/>
    <col min="5" max="6" width="8.7109375" bestFit="1" customWidth="1"/>
    <col min="7" max="7" width="16.85546875" bestFit="1" customWidth="1"/>
    <col min="8" max="8" width="11.85546875" bestFit="1" customWidth="1"/>
    <col min="9" max="9" width="18.28515625" bestFit="1" customWidth="1"/>
  </cols>
  <sheetData>
    <row r="1" spans="1:9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topLeftCell="B1" zoomScale="175" zoomScaleNormal="175" workbookViewId="0">
      <selection activeCell="F2" sqref="F2"/>
    </sheetView>
  </sheetViews>
  <sheetFormatPr defaultRowHeight="15"/>
  <cols>
    <col min="1" max="1" width="27" bestFit="1" customWidth="1"/>
    <col min="2" max="2" width="15.42578125" bestFit="1" customWidth="1"/>
    <col min="3" max="3" width="11.7109375" bestFit="1" customWidth="1"/>
    <col min="4" max="4" width="11.42578125" bestFit="1" customWidth="1"/>
    <col min="5" max="5" width="18.28515625" bestFit="1" customWidth="1"/>
    <col min="6" max="6" width="13.5703125" bestFit="1" customWidth="1"/>
    <col min="7" max="7" width="9.28515625" bestFit="1" customWidth="1"/>
    <col min="8" max="8" width="6.42578125" bestFit="1" customWidth="1"/>
    <col min="9" max="9" width="11.7109375" bestFit="1" customWidth="1"/>
    <col min="10" max="10" width="9.42578125" bestFit="1" customWidth="1"/>
    <col min="11" max="11" width="13.85546875" bestFit="1" customWidth="1"/>
    <col min="12" max="12" width="10.140625" bestFit="1" customWidth="1"/>
    <col min="13" max="13" width="11.28515625" bestFit="1" customWidth="1"/>
    <col min="14" max="14" width="8" bestFit="1" customWidth="1"/>
    <col min="15" max="15" width="13" bestFit="1" customWidth="1"/>
    <col min="16" max="16" width="11.5703125" bestFit="1" customWidth="1"/>
    <col min="17" max="17" width="6.28515625" bestFit="1" customWidth="1"/>
  </cols>
  <sheetData>
    <row r="1" spans="1:17" s="10" customFormat="1" ht="25.5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topLeftCell="B3" zoomScale="145" zoomScaleNormal="145" workbookViewId="0">
      <selection activeCell="B2" sqref="B2"/>
    </sheetView>
  </sheetViews>
  <sheetFormatPr defaultRowHeight="15"/>
  <cols>
    <col min="1" max="1" width="33.42578125" bestFit="1" customWidth="1"/>
    <col min="2" max="2" width="11.28515625" bestFit="1" customWidth="1"/>
    <col min="3" max="3" width="13" bestFit="1" customWidth="1"/>
    <col min="4" max="4" width="13.140625" bestFit="1" customWidth="1"/>
    <col min="5" max="5" width="11.85546875" bestFit="1" customWidth="1"/>
    <col min="6" max="6" width="8.140625" bestFit="1" customWidth="1"/>
    <col min="7" max="7" width="14.28515625" bestFit="1" customWidth="1"/>
    <col min="8" max="8" width="19.42578125" bestFit="1" customWidth="1"/>
    <col min="9" max="9" width="18.7109375" bestFit="1" customWidth="1"/>
    <col min="10" max="10" width="16" bestFit="1" customWidth="1"/>
  </cols>
  <sheetData>
    <row r="1" spans="1:10" ht="25.5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zoomScale="115" zoomScaleNormal="115" workbookViewId="0">
      <selection activeCell="C19" sqref="C19"/>
    </sheetView>
  </sheetViews>
  <sheetFormatPr defaultRowHeight="15"/>
  <cols>
    <col min="1" max="1" width="29.28515625" customWidth="1"/>
    <col min="2" max="2" width="13.85546875" customWidth="1"/>
    <col min="3" max="3" width="29.85546875" customWidth="1"/>
    <col min="4" max="4" width="18.7109375" customWidth="1"/>
    <col min="5" max="5" width="17.7109375" customWidth="1"/>
    <col min="6" max="6" width="11.28515625" bestFit="1" customWidth="1"/>
    <col min="7" max="7" width="13.42578125" bestFit="1" customWidth="1"/>
  </cols>
  <sheetData>
    <row r="1" spans="1:7" ht="21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>
      <c r="A2" t="str">
        <f>Break!A2</f>
        <v>Mum_Abdul Hamid (1008512)</v>
      </c>
      <c r="B2" t="str">
        <f>MID(A2,FIND("_",A2,1)+1,FIND("(",A2,1)-FIND("_",A2,1)-2)</f>
        <v>Abdul Hamid</v>
      </c>
      <c r="C2" s="12">
        <f t="shared" ref="C2:C33" si="0">TIMEVALUE(VLOOKUP(A2,EData,2,0))</f>
        <v>0.34424768518518517</v>
      </c>
      <c r="D2" s="12">
        <f t="shared" ref="D2:D33" si="1">TIMEVALUE(VLOOKUP(A2,EData,3,0))</f>
        <v>0.20693287037037036</v>
      </c>
      <c r="E2" s="12">
        <f t="shared" ref="E2:E33" si="2">TIMEVALUE(VLOOKUP(A2,BData,9,0))</f>
        <v>4.7708333333333332E-2</v>
      </c>
      <c r="F2">
        <f t="shared" ref="F2:F33" si="3">VLOOKUP(A2,PData,2,0)</f>
        <v>98</v>
      </c>
      <c r="G2" s="13">
        <f t="shared" ref="G2:G33" si="4">VLOOKUP(A2,EData,6,0)</f>
        <v>0.55697138822580095</v>
      </c>
    </row>
    <row r="3" spans="1:7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2">
        <f t="shared" si="0"/>
        <v>0.34416666666666668</v>
      </c>
      <c r="D3" s="12">
        <f t="shared" si="1"/>
        <v>0.20733796296296295</v>
      </c>
      <c r="E3" s="12">
        <f t="shared" si="2"/>
        <v>4.8599537037037038E-2</v>
      </c>
      <c r="F3">
        <f t="shared" si="3"/>
        <v>23</v>
      </c>
      <c r="G3" s="13">
        <f t="shared" si="4"/>
        <v>0.58027306967984904</v>
      </c>
    </row>
    <row r="4" spans="1:7">
      <c r="A4" t="str">
        <f>Break!A4</f>
        <v>Mum_Anamika Gupta (1008514)</v>
      </c>
      <c r="B4" t="str">
        <f t="shared" si="5"/>
        <v>Anamika Gupta</v>
      </c>
      <c r="C4" s="12">
        <f t="shared" si="0"/>
        <v>0.34510416666666671</v>
      </c>
      <c r="D4" s="12">
        <f t="shared" si="1"/>
        <v>0.20109953703703706</v>
      </c>
      <c r="E4" s="12">
        <f t="shared" si="2"/>
        <v>5.1319444444444445E-2</v>
      </c>
      <c r="F4">
        <f t="shared" si="3"/>
        <v>28</v>
      </c>
      <c r="G4" s="13">
        <f t="shared" si="4"/>
        <v>0.51708756749505302</v>
      </c>
    </row>
    <row r="5" spans="1:7">
      <c r="A5" t="str">
        <f>Break!A5</f>
        <v>Mum_Anikuttan (1008515)</v>
      </c>
      <c r="B5" t="str">
        <f t="shared" si="5"/>
        <v>Anikuttan</v>
      </c>
      <c r="C5" s="12">
        <f t="shared" si="0"/>
        <v>0.34023148148148147</v>
      </c>
      <c r="D5" s="12">
        <f t="shared" si="1"/>
        <v>0.17884259259259261</v>
      </c>
      <c r="E5" s="12">
        <f t="shared" si="2"/>
        <v>9.6550925925925915E-2</v>
      </c>
      <c r="F5">
        <f t="shared" si="3"/>
        <v>29</v>
      </c>
      <c r="G5" s="13">
        <f t="shared" si="4"/>
        <v>0.47720778337188702</v>
      </c>
    </row>
    <row r="6" spans="1:7">
      <c r="A6" t="str">
        <f>Break!A6</f>
        <v>Mum_Anil Kumar (1008516)</v>
      </c>
      <c r="B6" t="str">
        <f t="shared" si="5"/>
        <v>Anil Kumar</v>
      </c>
      <c r="C6" s="12">
        <f t="shared" si="0"/>
        <v>0.30603009259259256</v>
      </c>
      <c r="D6" s="12">
        <f t="shared" si="1"/>
        <v>0.13870370370370369</v>
      </c>
      <c r="E6" s="12">
        <f t="shared" si="2"/>
        <v>0.12844907407407408</v>
      </c>
      <c r="F6">
        <f t="shared" si="3"/>
        <v>93</v>
      </c>
      <c r="G6" s="13">
        <f t="shared" si="4"/>
        <v>0.43288831738587802</v>
      </c>
    </row>
    <row r="7" spans="1:7">
      <c r="A7" t="str">
        <f>Break!A7</f>
        <v>Mum_Anita Dixit (1008517)</v>
      </c>
      <c r="B7" t="str">
        <f t="shared" si="5"/>
        <v>Anita Dixit</v>
      </c>
      <c r="C7" s="12">
        <f t="shared" si="0"/>
        <v>0.20843750000000003</v>
      </c>
      <c r="D7" s="12">
        <f t="shared" si="1"/>
        <v>0.15369212962962964</v>
      </c>
      <c r="E7" s="12">
        <f t="shared" si="2"/>
        <v>1.8831018518518518E-2</v>
      </c>
      <c r="F7">
        <f t="shared" si="3"/>
        <v>92</v>
      </c>
      <c r="G7" s="13">
        <f t="shared" si="4"/>
        <v>0.65495030262646503</v>
      </c>
    </row>
    <row r="8" spans="1:7">
      <c r="A8" t="str">
        <f>Break!A8</f>
        <v>Mum_Anita Ghore (1008518)</v>
      </c>
      <c r="B8" t="str">
        <f t="shared" si="5"/>
        <v>Anita Ghore</v>
      </c>
      <c r="C8" s="12">
        <f t="shared" si="0"/>
        <v>0.34488425925925931</v>
      </c>
      <c r="D8" s="12">
        <f t="shared" si="1"/>
        <v>0.17553240740740741</v>
      </c>
      <c r="E8" s="12">
        <f t="shared" si="2"/>
        <v>0.11229166666666668</v>
      </c>
      <c r="F8">
        <f t="shared" si="3"/>
        <v>26</v>
      </c>
      <c r="G8" s="13">
        <f t="shared" si="4"/>
        <v>0.49476474931203401</v>
      </c>
    </row>
    <row r="9" spans="1:7">
      <c r="A9" t="str">
        <f>Break!A9</f>
        <v>Mum_Anjali Deoram (1008519)</v>
      </c>
      <c r="B9" t="str">
        <f t="shared" si="5"/>
        <v>Anjali Deoram</v>
      </c>
      <c r="C9" s="12">
        <f t="shared" si="0"/>
        <v>0.38646990740740739</v>
      </c>
      <c r="D9" s="12">
        <f t="shared" si="1"/>
        <v>0.24453703703703702</v>
      </c>
      <c r="E9" s="12">
        <f t="shared" si="2"/>
        <v>5.0810185185185187E-2</v>
      </c>
      <c r="F9">
        <f t="shared" si="3"/>
        <v>90</v>
      </c>
      <c r="G9" s="13">
        <f t="shared" si="4"/>
        <v>0.55128627474469205</v>
      </c>
    </row>
    <row r="10" spans="1:7">
      <c r="A10" t="str">
        <f>Break!A10</f>
        <v>Mum_Anjali Sahay (1008520)</v>
      </c>
      <c r="B10" t="str">
        <f t="shared" si="5"/>
        <v>Anjali Sahay</v>
      </c>
      <c r="C10" s="12">
        <f t="shared" si="0"/>
        <v>0.34256944444444448</v>
      </c>
      <c r="D10" s="12">
        <f t="shared" si="1"/>
        <v>0.20311342592592593</v>
      </c>
      <c r="E10" s="12">
        <f t="shared" si="2"/>
        <v>4.628472222222222E-2</v>
      </c>
      <c r="F10">
        <f t="shared" si="3"/>
        <v>89</v>
      </c>
      <c r="G10" s="13">
        <f t="shared" si="4"/>
        <v>0.55206432867085597</v>
      </c>
    </row>
    <row r="11" spans="1:7">
      <c r="A11" t="str">
        <f>Break!A11</f>
        <v>Mum_Annu Latika (1008521)</v>
      </c>
      <c r="B11" t="str">
        <f t="shared" si="5"/>
        <v>Annu Latika</v>
      </c>
      <c r="C11" s="12">
        <f t="shared" si="0"/>
        <v>0.34769675925925925</v>
      </c>
      <c r="D11" s="12">
        <f t="shared" si="1"/>
        <v>0.20702546296296295</v>
      </c>
      <c r="E11" s="12">
        <f t="shared" si="2"/>
        <v>4.8576388888888884E-2</v>
      </c>
      <c r="F11">
        <f t="shared" si="3"/>
        <v>54</v>
      </c>
      <c r="G11" s="13">
        <f t="shared" si="4"/>
        <v>0.56868945774108703</v>
      </c>
    </row>
    <row r="12" spans="1:7">
      <c r="A12" t="str">
        <f>Break!A12</f>
        <v>Mum_Anoop Narayan (1008522)</v>
      </c>
      <c r="B12" t="str">
        <f t="shared" si="5"/>
        <v>Anoop Narayan</v>
      </c>
      <c r="C12" s="12">
        <f t="shared" si="0"/>
        <v>0.34068287037037037</v>
      </c>
      <c r="D12" s="12">
        <f t="shared" si="1"/>
        <v>0.20518518518518516</v>
      </c>
      <c r="E12" s="12">
        <f t="shared" si="2"/>
        <v>4.809027777777778E-2</v>
      </c>
      <c r="F12">
        <f t="shared" si="3"/>
        <v>87</v>
      </c>
      <c r="G12" s="13">
        <f t="shared" si="4"/>
        <v>0.56035332087650802</v>
      </c>
    </row>
    <row r="13" spans="1:7">
      <c r="A13" t="str">
        <f>Break!A13</f>
        <v>Mum_Anoop Raj (1008523)</v>
      </c>
      <c r="B13" t="str">
        <f t="shared" si="5"/>
        <v>Anoop Raj</v>
      </c>
      <c r="C13" s="12">
        <f t="shared" si="0"/>
        <v>0.33622685185185186</v>
      </c>
      <c r="D13" s="12">
        <f t="shared" si="1"/>
        <v>0.15812499999999999</v>
      </c>
      <c r="E13" s="12">
        <f t="shared" si="2"/>
        <v>0.12590277777777778</v>
      </c>
      <c r="F13">
        <f t="shared" si="3"/>
        <v>65</v>
      </c>
      <c r="G13" s="13">
        <f t="shared" si="4"/>
        <v>0.41552495697073999</v>
      </c>
    </row>
    <row r="14" spans="1:7">
      <c r="A14" t="str">
        <f>Break!A14</f>
        <v>Mum_Anubhuti Gupta (1008524)</v>
      </c>
      <c r="B14" t="str">
        <f t="shared" si="5"/>
        <v>Anubhuti Gupta</v>
      </c>
      <c r="C14" s="12">
        <f t="shared" si="0"/>
        <v>0.34349537037037042</v>
      </c>
      <c r="D14" s="12">
        <f t="shared" si="1"/>
        <v>0.19699074074074074</v>
      </c>
      <c r="E14" s="12">
        <f t="shared" si="2"/>
        <v>8.7974537037037046E-2</v>
      </c>
      <c r="F14">
        <f t="shared" si="3"/>
        <v>85</v>
      </c>
      <c r="G14" s="13">
        <f t="shared" si="4"/>
        <v>0.50026955994339195</v>
      </c>
    </row>
    <row r="15" spans="1:7">
      <c r="A15" t="str">
        <f>Break!A15</f>
        <v>Mum_Arun Kumar (1008525)</v>
      </c>
      <c r="B15" t="str">
        <f t="shared" si="5"/>
        <v>Arun Kumar</v>
      </c>
      <c r="C15" s="12">
        <f t="shared" si="0"/>
        <v>0.33321759259259259</v>
      </c>
      <c r="D15" s="12">
        <f t="shared" si="1"/>
        <v>0.19475694444444444</v>
      </c>
      <c r="E15" s="12">
        <f t="shared" si="2"/>
        <v>4.9004629629629627E-2</v>
      </c>
      <c r="F15">
        <f t="shared" si="3"/>
        <v>65</v>
      </c>
      <c r="G15" s="13">
        <f t="shared" si="4"/>
        <v>0.51396318166029897</v>
      </c>
    </row>
    <row r="16" spans="1:7">
      <c r="A16" t="str">
        <f>Break!A16</f>
        <v>Mum_Ashish Kumar (1008526)</v>
      </c>
      <c r="B16" t="str">
        <f t="shared" si="5"/>
        <v>Ashish Kumar</v>
      </c>
      <c r="C16" s="12">
        <f t="shared" si="0"/>
        <v>0.34512731481481485</v>
      </c>
      <c r="D16" s="12">
        <f t="shared" si="1"/>
        <v>0.2066550925925926</v>
      </c>
      <c r="E16" s="12">
        <f t="shared" si="2"/>
        <v>5.3460648148148153E-2</v>
      </c>
      <c r="F16">
        <f t="shared" si="3"/>
        <v>83</v>
      </c>
      <c r="G16" s="13">
        <f t="shared" si="4"/>
        <v>0.510580502364264</v>
      </c>
    </row>
    <row r="17" spans="1:7">
      <c r="A17" t="str">
        <f>Break!A17</f>
        <v>Mum_Ashok Kumar (1008527)</v>
      </c>
      <c r="B17" t="str">
        <f t="shared" si="5"/>
        <v>Ashok Kumar</v>
      </c>
      <c r="C17" s="12">
        <f t="shared" si="0"/>
        <v>0.34531249999999997</v>
      </c>
      <c r="D17" s="12">
        <f t="shared" si="1"/>
        <v>0.17390046296296294</v>
      </c>
      <c r="E17" s="12">
        <f t="shared" si="2"/>
        <v>0.10023148148148148</v>
      </c>
      <c r="F17">
        <f t="shared" si="3"/>
        <v>82</v>
      </c>
      <c r="G17" s="13">
        <f t="shared" si="4"/>
        <v>0.48292274174627098</v>
      </c>
    </row>
    <row r="18" spans="1:7">
      <c r="A18" t="str">
        <f>Break!A18</f>
        <v>Hyd_Ashok Kumar (1008528)</v>
      </c>
      <c r="B18" t="str">
        <f t="shared" si="5"/>
        <v>Ashok Kumar</v>
      </c>
      <c r="C18" s="12">
        <f t="shared" si="0"/>
        <v>0.32848379629629632</v>
      </c>
      <c r="D18" s="12">
        <f t="shared" si="1"/>
        <v>0.1973611111111111</v>
      </c>
      <c r="E18" s="12">
        <f t="shared" si="2"/>
        <v>3.9224537037037037E-2</v>
      </c>
      <c r="F18">
        <f t="shared" si="3"/>
        <v>81</v>
      </c>
      <c r="G18" s="13">
        <f t="shared" si="4"/>
        <v>0.57362319861879396</v>
      </c>
    </row>
    <row r="19" spans="1:7">
      <c r="A19" t="str">
        <f>Break!A19</f>
        <v>Hyd_Ashok Kumar (1008529)</v>
      </c>
      <c r="B19" t="str">
        <f t="shared" si="5"/>
        <v>Ashok Kumar</v>
      </c>
      <c r="C19" s="12">
        <f t="shared" si="0"/>
        <v>0.34494212962962961</v>
      </c>
      <c r="D19" s="12">
        <f t="shared" si="1"/>
        <v>0.20702546296296295</v>
      </c>
      <c r="E19" s="12">
        <f t="shared" si="2"/>
        <v>4.8692129629629627E-2</v>
      </c>
      <c r="F19">
        <f t="shared" si="3"/>
        <v>80</v>
      </c>
      <c r="G19" s="13">
        <f t="shared" si="4"/>
        <v>0.56430560681810604</v>
      </c>
    </row>
    <row r="20" spans="1:7">
      <c r="A20" t="str">
        <f>Break!A20</f>
        <v>Hyd_Ashok Kumar (1008530)</v>
      </c>
      <c r="B20" t="str">
        <f t="shared" si="5"/>
        <v>Ashok Kumar</v>
      </c>
      <c r="C20" s="12">
        <f t="shared" si="0"/>
        <v>0.34810185185185188</v>
      </c>
      <c r="D20" s="12">
        <f t="shared" si="1"/>
        <v>0.18267361111111111</v>
      </c>
      <c r="E20" s="12">
        <f t="shared" si="2"/>
        <v>0.11122685185185184</v>
      </c>
      <c r="F20">
        <f t="shared" si="3"/>
        <v>79</v>
      </c>
      <c r="G20" s="13">
        <f t="shared" si="4"/>
        <v>0.46974331693044302</v>
      </c>
    </row>
    <row r="21" spans="1:7">
      <c r="A21" t="str">
        <f>Break!A21</f>
        <v>Hyd_Ashok Mahto (1008531)</v>
      </c>
      <c r="B21" t="str">
        <f t="shared" si="5"/>
        <v>Ashok Mahto</v>
      </c>
      <c r="C21" s="12">
        <f t="shared" si="0"/>
        <v>0.34574074074074074</v>
      </c>
      <c r="D21" s="12">
        <f t="shared" si="1"/>
        <v>0.20710648148148147</v>
      </c>
      <c r="E21" s="12">
        <f t="shared" si="2"/>
        <v>5.1736111111111115E-2</v>
      </c>
      <c r="F21">
        <f t="shared" si="3"/>
        <v>78</v>
      </c>
      <c r="G21" s="13">
        <f t="shared" si="4"/>
        <v>0.57495313336904097</v>
      </c>
    </row>
    <row r="22" spans="1:7">
      <c r="A22" t="str">
        <f>Break!A22</f>
        <v>Hyd_Atul Kumar (1008532)</v>
      </c>
      <c r="B22" t="str">
        <f t="shared" si="5"/>
        <v>Atul Kumar</v>
      </c>
      <c r="C22" s="12">
        <f t="shared" si="0"/>
        <v>0.3428356481481481</v>
      </c>
      <c r="D22" s="12">
        <f t="shared" si="1"/>
        <v>0.20393518518518516</v>
      </c>
      <c r="E22" s="12">
        <f t="shared" si="2"/>
        <v>4.6516203703703705E-2</v>
      </c>
      <c r="F22">
        <f t="shared" si="3"/>
        <v>77</v>
      </c>
      <c r="G22" s="13">
        <f t="shared" si="4"/>
        <v>0.57945376590932096</v>
      </c>
    </row>
    <row r="23" spans="1:7">
      <c r="A23" t="str">
        <f>Break!A23</f>
        <v>Hyd_Azam (1008533)</v>
      </c>
      <c r="B23" t="str">
        <f t="shared" si="5"/>
        <v>Azam</v>
      </c>
      <c r="C23" s="12">
        <f t="shared" si="0"/>
        <v>0.34553240740740737</v>
      </c>
      <c r="D23" s="12">
        <f t="shared" si="1"/>
        <v>0.20821759259259257</v>
      </c>
      <c r="E23" s="12">
        <f t="shared" si="2"/>
        <v>4.8460648148148149E-2</v>
      </c>
      <c r="F23">
        <f t="shared" si="3"/>
        <v>76</v>
      </c>
      <c r="G23" s="13">
        <f t="shared" si="4"/>
        <v>0.588296375695049</v>
      </c>
    </row>
    <row r="24" spans="1:7">
      <c r="A24" t="str">
        <f>Break!A24</f>
        <v>Hyd_Bhagwat Singh (1008534)</v>
      </c>
      <c r="B24" t="str">
        <f t="shared" si="5"/>
        <v>Bhagwat Singh</v>
      </c>
      <c r="C24" s="12">
        <f t="shared" si="0"/>
        <v>0.32064814814814818</v>
      </c>
      <c r="D24" s="12">
        <f t="shared" si="1"/>
        <v>0.17288194444444446</v>
      </c>
      <c r="E24" s="12">
        <f t="shared" si="2"/>
        <v>9.0486111111111114E-2</v>
      </c>
      <c r="F24">
        <f t="shared" si="3"/>
        <v>75</v>
      </c>
      <c r="G24" s="13">
        <f t="shared" si="4"/>
        <v>0.46267686976609901</v>
      </c>
    </row>
    <row r="25" spans="1:7">
      <c r="A25" t="str">
        <f>Break!A25</f>
        <v>Hyd_Bindu Nair (1008535)</v>
      </c>
      <c r="B25" t="str">
        <f t="shared" si="5"/>
        <v>Bindu Nair</v>
      </c>
      <c r="C25" s="12">
        <f t="shared" si="0"/>
        <v>0.34032407407407406</v>
      </c>
      <c r="D25" s="12">
        <f t="shared" si="1"/>
        <v>0.17644675925925926</v>
      </c>
      <c r="E25" s="12">
        <f t="shared" si="2"/>
        <v>9.116898148148149E-2</v>
      </c>
      <c r="F25">
        <f t="shared" si="3"/>
        <v>74</v>
      </c>
      <c r="G25" s="13">
        <f t="shared" si="4"/>
        <v>0.478030199972793</v>
      </c>
    </row>
    <row r="26" spans="1:7">
      <c r="A26" t="str">
        <f>Break!A26</f>
        <v>Hyd_Daleep Singh (1008536)</v>
      </c>
      <c r="B26" t="str">
        <f t="shared" si="5"/>
        <v>Daleep Singh</v>
      </c>
      <c r="C26" s="12">
        <f t="shared" si="0"/>
        <v>0.34328703703703706</v>
      </c>
      <c r="D26" s="12">
        <f t="shared" si="1"/>
        <v>0.22703703703703704</v>
      </c>
      <c r="E26" s="12">
        <f t="shared" si="2"/>
        <v>5.0625000000000003E-2</v>
      </c>
      <c r="F26">
        <f t="shared" si="3"/>
        <v>73</v>
      </c>
      <c r="G26" s="13">
        <f t="shared" si="4"/>
        <v>0.59983142279163904</v>
      </c>
    </row>
    <row r="27" spans="1:7">
      <c r="A27" t="str">
        <f>Break!A27</f>
        <v>Hyd_Deepak Kumar (1008537)</v>
      </c>
      <c r="B27" t="str">
        <f t="shared" si="5"/>
        <v>Deepak Kumar</v>
      </c>
      <c r="C27" s="12">
        <f t="shared" si="0"/>
        <v>0.31663194444444448</v>
      </c>
      <c r="D27" s="12">
        <f t="shared" si="1"/>
        <v>0.21199074074074076</v>
      </c>
      <c r="E27" s="12">
        <f t="shared" si="2"/>
        <v>2.1180555555555553E-2</v>
      </c>
      <c r="F27">
        <f t="shared" si="3"/>
        <v>72</v>
      </c>
      <c r="G27" s="13">
        <f t="shared" si="4"/>
        <v>0.65029060203969702</v>
      </c>
    </row>
    <row r="28" spans="1:7">
      <c r="A28" t="str">
        <f>Break!A28</f>
        <v>Hyd_Deepika Nigam (1008538)</v>
      </c>
      <c r="B28" t="str">
        <f t="shared" si="5"/>
        <v>Deepika Nigam</v>
      </c>
      <c r="C28" s="12">
        <f t="shared" si="0"/>
        <v>0.34512731481481485</v>
      </c>
      <c r="D28" s="12">
        <f t="shared" si="1"/>
        <v>0.20607638888888888</v>
      </c>
      <c r="E28" s="12">
        <f t="shared" si="2"/>
        <v>4.9768518518518517E-2</v>
      </c>
      <c r="F28">
        <f t="shared" si="3"/>
        <v>71</v>
      </c>
      <c r="G28" s="13">
        <f t="shared" si="4"/>
        <v>0.55001844461584903</v>
      </c>
    </row>
    <row r="29" spans="1:7">
      <c r="A29" t="str">
        <f>Break!A29</f>
        <v>Hyd_Dinesh Kumar (1008539)</v>
      </c>
      <c r="B29" t="str">
        <f t="shared" si="5"/>
        <v>Dinesh Kumar</v>
      </c>
      <c r="C29" s="12">
        <f t="shared" si="0"/>
        <v>0.34297453703703701</v>
      </c>
      <c r="D29" s="12">
        <f t="shared" si="1"/>
        <v>0.21273148148148147</v>
      </c>
      <c r="E29" s="12">
        <f t="shared" si="2"/>
        <v>4.8645833333333333E-2</v>
      </c>
      <c r="F29">
        <f t="shared" si="3"/>
        <v>70</v>
      </c>
      <c r="G29" s="13">
        <f t="shared" si="4"/>
        <v>0.51334660682347399</v>
      </c>
    </row>
    <row r="30" spans="1:7">
      <c r="A30" t="str">
        <f>Break!A30</f>
        <v>Hyd_Hari Kumar (1008540)</v>
      </c>
      <c r="B30" t="str">
        <f t="shared" si="5"/>
        <v>Hari Kumar</v>
      </c>
      <c r="C30" s="12">
        <f t="shared" si="0"/>
        <v>0.34387731481481482</v>
      </c>
      <c r="D30" s="12">
        <f t="shared" si="1"/>
        <v>0.17480324074074075</v>
      </c>
      <c r="E30" s="12">
        <f t="shared" si="2"/>
        <v>0.11449074074074074</v>
      </c>
      <c r="F30">
        <f t="shared" si="3"/>
        <v>69</v>
      </c>
      <c r="G30" s="13">
        <f t="shared" si="4"/>
        <v>0.43603379219817601</v>
      </c>
    </row>
    <row r="31" spans="1:7">
      <c r="A31" t="str">
        <f>Break!A31</f>
        <v>Hyd_Heeramani Choudhary (1008541)</v>
      </c>
      <c r="B31" t="str">
        <f t="shared" si="5"/>
        <v>Heeramani Choudhary</v>
      </c>
      <c r="C31" s="12">
        <f t="shared" si="0"/>
        <v>0.31069444444444444</v>
      </c>
      <c r="D31" s="12">
        <f t="shared" si="1"/>
        <v>0.1912962962962963</v>
      </c>
      <c r="E31" s="12">
        <f t="shared" si="2"/>
        <v>5.5787037037037031E-2</v>
      </c>
      <c r="F31">
        <f t="shared" si="3"/>
        <v>68</v>
      </c>
      <c r="G31" s="13">
        <f t="shared" si="4"/>
        <v>0.52954105200417201</v>
      </c>
    </row>
    <row r="32" spans="1:7">
      <c r="A32" t="str">
        <f>Break!A32</f>
        <v>Hyd_Indra Pal (1008542)</v>
      </c>
      <c r="B32" t="str">
        <f t="shared" si="5"/>
        <v>Indra Pal</v>
      </c>
      <c r="C32" s="12">
        <f t="shared" si="0"/>
        <v>0.33329861111111109</v>
      </c>
      <c r="D32" s="12">
        <f t="shared" si="1"/>
        <v>0.21824074074074074</v>
      </c>
      <c r="E32" s="12">
        <f t="shared" si="2"/>
        <v>4.809027777777778E-2</v>
      </c>
      <c r="F32">
        <f t="shared" si="3"/>
        <v>67</v>
      </c>
      <c r="G32" s="13">
        <f t="shared" si="4"/>
        <v>0.56446852102649603</v>
      </c>
    </row>
    <row r="33" spans="1:7">
      <c r="A33" t="str">
        <f>Break!A33</f>
        <v>Hyd_Indra Singh (1008543)</v>
      </c>
      <c r="B33" t="str">
        <f t="shared" si="5"/>
        <v>Indra Singh</v>
      </c>
      <c r="C33" s="12">
        <f t="shared" si="0"/>
        <v>0.34564814814814815</v>
      </c>
      <c r="D33" s="12">
        <f t="shared" si="1"/>
        <v>0.21184027777777778</v>
      </c>
      <c r="E33" s="12">
        <f t="shared" si="2"/>
        <v>8.9745370370370378E-2</v>
      </c>
      <c r="F33">
        <f t="shared" si="3"/>
        <v>66</v>
      </c>
      <c r="G33" s="13">
        <f t="shared" si="4"/>
        <v>0.49789043664612898</v>
      </c>
    </row>
    <row r="34" spans="1:7">
      <c r="A34" t="str">
        <f>Break!A34</f>
        <v>Hyd_Jagdish Chandra (1008544)</v>
      </c>
      <c r="B34" t="str">
        <f t="shared" si="5"/>
        <v>Jagdish Chandra</v>
      </c>
      <c r="C34" s="12">
        <f t="shared" ref="C34:C65" si="6">TIMEVALUE(VLOOKUP(A34,EData,2,0))</f>
        <v>0.34664351851851855</v>
      </c>
      <c r="D34" s="12">
        <f t="shared" ref="D34:D65" si="7">TIMEVALUE(VLOOKUP(A34,EData,3,0))</f>
        <v>0.20781249999999998</v>
      </c>
      <c r="E34" s="12">
        <f t="shared" ref="E34:E65" si="8">TIMEVALUE(VLOOKUP(A34,BData,9,0))</f>
        <v>4.7951388888888891E-2</v>
      </c>
      <c r="F34">
        <f t="shared" ref="F34:F65" si="9">VLOOKUP(A34,PData,2,0)</f>
        <v>65</v>
      </c>
      <c r="G34" s="13">
        <f t="shared" ref="G34:G65" si="10">VLOOKUP(A34,EData,6,0)</f>
        <v>0.56270450751252099</v>
      </c>
    </row>
    <row r="35" spans="1:7">
      <c r="A35" t="str">
        <f>Break!A35</f>
        <v>Hyd_Jairaj Vatham (1008545)</v>
      </c>
      <c r="B35" t="str">
        <f t="shared" si="5"/>
        <v>Jairaj Vatham</v>
      </c>
      <c r="C35" s="12">
        <f t="shared" si="6"/>
        <v>0.34471064814814811</v>
      </c>
      <c r="D35" s="12">
        <f t="shared" si="7"/>
        <v>0.20981481481481482</v>
      </c>
      <c r="E35" s="12">
        <f t="shared" si="8"/>
        <v>4.8564814814814818E-2</v>
      </c>
      <c r="F35">
        <f t="shared" si="9"/>
        <v>64</v>
      </c>
      <c r="G35" s="13">
        <f t="shared" si="10"/>
        <v>0.57680556021891705</v>
      </c>
    </row>
    <row r="36" spans="1:7">
      <c r="A36" t="str">
        <f>Break!A36</f>
        <v>Hyd_Janardan Mishra (1008546)</v>
      </c>
      <c r="B36" t="str">
        <f t="shared" si="5"/>
        <v>Janardan Mishra</v>
      </c>
      <c r="C36" s="12">
        <f t="shared" si="6"/>
        <v>0.31923611111111111</v>
      </c>
      <c r="D36" s="12">
        <f t="shared" si="7"/>
        <v>0.18953703703703703</v>
      </c>
      <c r="E36" s="12">
        <f t="shared" si="8"/>
        <v>6.1215277777777778E-2</v>
      </c>
      <c r="F36">
        <f t="shared" si="9"/>
        <v>63</v>
      </c>
      <c r="G36" s="13">
        <f t="shared" si="10"/>
        <v>0.55728373576970502</v>
      </c>
    </row>
    <row r="37" spans="1:7">
      <c r="A37" t="str">
        <f>Break!A37</f>
        <v>Hyd_Jitendra Kumar (1008547)</v>
      </c>
      <c r="B37" t="str">
        <f t="shared" si="5"/>
        <v>Jitendra Kumar</v>
      </c>
      <c r="C37" s="12">
        <f t="shared" si="6"/>
        <v>0.34128472222222223</v>
      </c>
      <c r="D37" s="12">
        <f t="shared" si="7"/>
        <v>0.17200231481481479</v>
      </c>
      <c r="E37" s="12">
        <f t="shared" si="8"/>
        <v>0.10777777777777779</v>
      </c>
      <c r="F37">
        <f t="shared" si="9"/>
        <v>62</v>
      </c>
      <c r="G37" s="13">
        <f t="shared" si="10"/>
        <v>0.47590463594126198</v>
      </c>
    </row>
    <row r="38" spans="1:7">
      <c r="A38" t="str">
        <f>Break!A38</f>
        <v>Hyd_John D'Costa (1008548)</v>
      </c>
      <c r="B38" t="str">
        <f t="shared" si="5"/>
        <v>John D'Costa</v>
      </c>
      <c r="C38" s="12">
        <f t="shared" si="6"/>
        <v>0.34012731481481479</v>
      </c>
      <c r="D38" s="12">
        <f t="shared" si="7"/>
        <v>0.20243055555555556</v>
      </c>
      <c r="E38" s="12">
        <f t="shared" si="8"/>
        <v>4.8333333333333332E-2</v>
      </c>
      <c r="F38">
        <f t="shared" si="9"/>
        <v>61</v>
      </c>
      <c r="G38" s="13">
        <f t="shared" si="10"/>
        <v>0.55636846224520997</v>
      </c>
    </row>
    <row r="39" spans="1:7">
      <c r="A39" t="str">
        <f>Break!A39</f>
        <v>Hyd_Julie S (1008549)</v>
      </c>
      <c r="B39" t="str">
        <f t="shared" si="5"/>
        <v>Julie S</v>
      </c>
      <c r="C39" s="12">
        <f t="shared" si="6"/>
        <v>0.3442824074074074</v>
      </c>
      <c r="D39" s="12">
        <f t="shared" si="7"/>
        <v>0.20569444444444443</v>
      </c>
      <c r="E39" s="12">
        <f t="shared" si="8"/>
        <v>4.912037037037037E-2</v>
      </c>
      <c r="F39">
        <f t="shared" si="9"/>
        <v>60</v>
      </c>
      <c r="G39" s="13">
        <f t="shared" si="10"/>
        <v>0.527970147246689</v>
      </c>
    </row>
    <row r="40" spans="1:7">
      <c r="A40" t="str">
        <f>Break!A40</f>
        <v>Hyd_Jyoti Tulsani (1008550)</v>
      </c>
      <c r="B40" t="str">
        <f t="shared" si="5"/>
        <v>Jyoti Tulsani</v>
      </c>
      <c r="C40" s="12">
        <f t="shared" si="6"/>
        <v>0.3439699074074074</v>
      </c>
      <c r="D40" s="12">
        <f t="shared" si="7"/>
        <v>0.20620370370370369</v>
      </c>
      <c r="E40" s="12">
        <f t="shared" si="8"/>
        <v>4.8923611111111105E-2</v>
      </c>
      <c r="F40">
        <f t="shared" si="9"/>
        <v>59</v>
      </c>
      <c r="G40" s="13">
        <f t="shared" si="10"/>
        <v>0.565025741108382</v>
      </c>
    </row>
    <row r="41" spans="1:7">
      <c r="A41" t="str">
        <f>Break!A41</f>
        <v>Hyd_Kahkasha Parveen (1008551)</v>
      </c>
      <c r="B41" t="str">
        <f t="shared" si="5"/>
        <v>Kahkasha Parveen</v>
      </c>
      <c r="C41" s="12">
        <f t="shared" si="6"/>
        <v>0.34541666666666665</v>
      </c>
      <c r="D41" s="12">
        <f t="shared" si="7"/>
        <v>0.22590277777777779</v>
      </c>
      <c r="E41" s="12">
        <f t="shared" si="8"/>
        <v>4.8749999999999995E-2</v>
      </c>
      <c r="F41">
        <f t="shared" si="9"/>
        <v>58</v>
      </c>
      <c r="G41" s="13">
        <f t="shared" si="10"/>
        <v>0.48579278917035301</v>
      </c>
    </row>
    <row r="42" spans="1:7">
      <c r="A42" t="str">
        <f>Break!A42</f>
        <v>Hyd_Kailash Nath (1008552)</v>
      </c>
      <c r="B42" t="str">
        <f t="shared" si="5"/>
        <v>Kailash Nath</v>
      </c>
      <c r="C42" s="12">
        <f t="shared" si="6"/>
        <v>0.34445601851851854</v>
      </c>
      <c r="D42" s="12">
        <f t="shared" si="7"/>
        <v>0.20725694444444445</v>
      </c>
      <c r="E42" s="12">
        <f t="shared" si="8"/>
        <v>4.6990740740740743E-2</v>
      </c>
      <c r="F42">
        <f t="shared" si="9"/>
        <v>57</v>
      </c>
      <c r="G42" s="13">
        <f t="shared" si="10"/>
        <v>0.572258996673499</v>
      </c>
    </row>
    <row r="43" spans="1:7">
      <c r="A43" t="str">
        <f>Break!A43</f>
        <v>Hyd_Kalpana Agrawal (1008553)</v>
      </c>
      <c r="B43" t="str">
        <f t="shared" si="5"/>
        <v>Kalpana Agrawal</v>
      </c>
      <c r="C43" s="12">
        <f t="shared" si="6"/>
        <v>0.33342592592592596</v>
      </c>
      <c r="D43" s="12">
        <f t="shared" si="7"/>
        <v>0.16271990740740741</v>
      </c>
      <c r="E43" s="12">
        <f t="shared" si="8"/>
        <v>0.10062500000000001</v>
      </c>
      <c r="F43">
        <f t="shared" si="9"/>
        <v>56</v>
      </c>
      <c r="G43" s="13">
        <f t="shared" si="10"/>
        <v>0.46542627048042201</v>
      </c>
    </row>
    <row r="44" spans="1:7">
      <c r="A44" t="str">
        <f>Break!A44</f>
        <v>Hyd_Kamini Kumar (1008554)</v>
      </c>
      <c r="B44" t="str">
        <f t="shared" si="5"/>
        <v>Kamini Kumar</v>
      </c>
      <c r="C44" s="12">
        <f t="shared" si="6"/>
        <v>0.2094560185185185</v>
      </c>
      <c r="D44" s="12">
        <f t="shared" si="7"/>
        <v>0.13993055555555556</v>
      </c>
      <c r="E44" s="12">
        <f t="shared" si="8"/>
        <v>1.0416666666666666E-2</v>
      </c>
      <c r="F44">
        <f t="shared" si="9"/>
        <v>55</v>
      </c>
      <c r="G44" s="13">
        <f t="shared" si="10"/>
        <v>0.64380836602751801</v>
      </c>
    </row>
    <row r="45" spans="1:7">
      <c r="A45" t="str">
        <f>Break!A45</f>
        <v>Hyd_Kamini Tiwari (1008555)</v>
      </c>
      <c r="B45" t="str">
        <f t="shared" si="5"/>
        <v>Kamini Tiwari</v>
      </c>
      <c r="C45" s="12">
        <f t="shared" si="6"/>
        <v>0.35192129629629632</v>
      </c>
      <c r="D45" s="12">
        <f t="shared" si="7"/>
        <v>0.22140046296296298</v>
      </c>
      <c r="E45" s="12">
        <f t="shared" si="8"/>
        <v>4.8437500000000001E-2</v>
      </c>
      <c r="F45">
        <f t="shared" si="9"/>
        <v>54</v>
      </c>
      <c r="G45" s="13">
        <f t="shared" si="10"/>
        <v>0.57347234098533195</v>
      </c>
    </row>
    <row r="46" spans="1:7">
      <c r="A46" t="str">
        <f>Break!A46</f>
        <v>Hyd_Kavita Sharma (1008556)</v>
      </c>
      <c r="B46" t="str">
        <f t="shared" si="5"/>
        <v>Kavita Sharma</v>
      </c>
      <c r="C46" s="12">
        <f t="shared" si="6"/>
        <v>0.32876157407407408</v>
      </c>
      <c r="D46" s="12">
        <f t="shared" si="7"/>
        <v>0.22660879629629629</v>
      </c>
      <c r="E46" s="12">
        <f t="shared" si="8"/>
        <v>3.9108796296296301E-2</v>
      </c>
      <c r="F46">
        <f t="shared" si="9"/>
        <v>53</v>
      </c>
      <c r="G46" s="13">
        <f t="shared" si="10"/>
        <v>0.64717479317021698</v>
      </c>
    </row>
    <row r="47" spans="1:7">
      <c r="A47" t="str">
        <f>Break!A47</f>
        <v>Hyd_Kiran Khubchandani (1008557)</v>
      </c>
      <c r="B47" t="str">
        <f t="shared" si="5"/>
        <v>Kiran Khubchandani</v>
      </c>
      <c r="C47" s="12">
        <f t="shared" si="6"/>
        <v>0.33435185185185184</v>
      </c>
      <c r="D47" s="12">
        <f t="shared" si="7"/>
        <v>0.17586805555555554</v>
      </c>
      <c r="E47" s="12">
        <f t="shared" si="8"/>
        <v>9.0555555555555556E-2</v>
      </c>
      <c r="F47">
        <f t="shared" si="9"/>
        <v>52</v>
      </c>
      <c r="G47" s="13">
        <f t="shared" si="10"/>
        <v>0.50443090556632497</v>
      </c>
    </row>
    <row r="48" spans="1:7">
      <c r="A48" t="str">
        <f>Break!A48</f>
        <v>Hyd_Kisun Sah (1008558)</v>
      </c>
      <c r="B48" t="str">
        <f t="shared" si="5"/>
        <v>Kisun Sah</v>
      </c>
      <c r="C48" s="12">
        <f t="shared" si="6"/>
        <v>0.34831018518518514</v>
      </c>
      <c r="D48" s="12">
        <f t="shared" si="7"/>
        <v>0.21436342592592594</v>
      </c>
      <c r="E48" s="12">
        <f t="shared" si="8"/>
        <v>4.8240740740740744E-2</v>
      </c>
      <c r="F48">
        <f t="shared" si="9"/>
        <v>51</v>
      </c>
      <c r="G48" s="13">
        <f t="shared" si="10"/>
        <v>0.55280122283511701</v>
      </c>
    </row>
    <row r="49" spans="1:7">
      <c r="A49" t="str">
        <f>Break!A49</f>
        <v>Hyd_Krishana Kumar (1008559)</v>
      </c>
      <c r="B49" t="str">
        <f t="shared" si="5"/>
        <v>Krishana Kumar</v>
      </c>
      <c r="C49" s="12">
        <f t="shared" si="6"/>
        <v>0.34407407407407403</v>
      </c>
      <c r="D49" s="12">
        <f t="shared" si="7"/>
        <v>0.19798611111111111</v>
      </c>
      <c r="E49" s="12">
        <f t="shared" si="8"/>
        <v>4.8437500000000001E-2</v>
      </c>
      <c r="F49">
        <f t="shared" si="9"/>
        <v>50</v>
      </c>
      <c r="G49" s="13">
        <f t="shared" si="10"/>
        <v>0.55493137782561897</v>
      </c>
    </row>
    <row r="50" spans="1:7">
      <c r="A50" t="str">
        <f>Break!A50</f>
        <v>Hyd_Kunj Bihari (1008560)</v>
      </c>
      <c r="B50" t="str">
        <f t="shared" si="5"/>
        <v>Kunj Bihari</v>
      </c>
      <c r="C50" s="12">
        <f t="shared" si="6"/>
        <v>0.33285879629629628</v>
      </c>
      <c r="D50" s="12">
        <f t="shared" si="7"/>
        <v>0.19598379629629628</v>
      </c>
      <c r="E50" s="12">
        <f t="shared" si="8"/>
        <v>4.8738425925925921E-2</v>
      </c>
      <c r="F50">
        <f t="shared" si="9"/>
        <v>49</v>
      </c>
      <c r="G50" s="13">
        <f t="shared" si="10"/>
        <v>0.55217497131332804</v>
      </c>
    </row>
    <row r="51" spans="1:7">
      <c r="A51" t="str">
        <f>Break!A51</f>
        <v>Hyd_Leena George (1008561)</v>
      </c>
      <c r="B51" t="str">
        <f t="shared" si="5"/>
        <v>Leena George</v>
      </c>
      <c r="C51" s="12">
        <f t="shared" si="6"/>
        <v>0.20570601851851852</v>
      </c>
      <c r="D51" s="12">
        <f t="shared" si="7"/>
        <v>0.13252314814814814</v>
      </c>
      <c r="E51" s="12">
        <f t="shared" si="8"/>
        <v>1.2615740740740742E-2</v>
      </c>
      <c r="F51">
        <f t="shared" si="9"/>
        <v>48</v>
      </c>
      <c r="G51" s="13">
        <f t="shared" si="10"/>
        <v>0.58819557756147001</v>
      </c>
    </row>
    <row r="52" spans="1:7">
      <c r="A52" t="str">
        <f>Break!A52</f>
        <v>Hyd_Lilly Lucy (1008562)</v>
      </c>
      <c r="B52" t="str">
        <f t="shared" si="5"/>
        <v>Lilly Lucy</v>
      </c>
      <c r="C52" s="12">
        <f t="shared" si="6"/>
        <v>0.32318287037037036</v>
      </c>
      <c r="D52" s="12">
        <f t="shared" si="7"/>
        <v>0.19381944444444443</v>
      </c>
      <c r="E52" s="12">
        <f t="shared" si="8"/>
        <v>5.1898148148148145E-2</v>
      </c>
      <c r="F52">
        <f t="shared" si="9"/>
        <v>47</v>
      </c>
      <c r="G52" s="13">
        <f t="shared" si="10"/>
        <v>0.55534863732407003</v>
      </c>
    </row>
    <row r="53" spans="1:7">
      <c r="A53" t="str">
        <f>Break!A53</f>
        <v>Hyd_Mangal Singh (1008563)</v>
      </c>
      <c r="B53" t="str">
        <f t="shared" si="5"/>
        <v>Mangal Singh</v>
      </c>
      <c r="C53" s="12">
        <f t="shared" si="6"/>
        <v>0.33348379629629626</v>
      </c>
      <c r="D53" s="12">
        <f t="shared" si="7"/>
        <v>0.19890046296296296</v>
      </c>
      <c r="E53" s="12">
        <f t="shared" si="8"/>
        <v>4.8657407407407406E-2</v>
      </c>
      <c r="F53">
        <f t="shared" si="9"/>
        <v>46</v>
      </c>
      <c r="G53" s="13">
        <f t="shared" si="10"/>
        <v>0.55815083469267301</v>
      </c>
    </row>
    <row r="54" spans="1:7">
      <c r="A54" t="str">
        <f>Break!A54</f>
        <v>Hyd_Manisha Shrivastava (1008564)</v>
      </c>
      <c r="B54" t="str">
        <f t="shared" si="5"/>
        <v>Manisha Shrivastava</v>
      </c>
      <c r="C54" s="12">
        <f t="shared" si="6"/>
        <v>0.34015046296296297</v>
      </c>
      <c r="D54" s="12">
        <f t="shared" si="7"/>
        <v>0.20222222222222222</v>
      </c>
      <c r="E54" s="12">
        <f t="shared" si="8"/>
        <v>4.8715277777777781E-2</v>
      </c>
      <c r="F54">
        <f t="shared" si="9"/>
        <v>45</v>
      </c>
      <c r="G54" s="13">
        <f t="shared" si="10"/>
        <v>0.53002824185919895</v>
      </c>
    </row>
    <row r="55" spans="1:7">
      <c r="A55" t="str">
        <f>Break!A55</f>
        <v>Hyd_Manjusha Sinha (1008565)</v>
      </c>
      <c r="B55" t="str">
        <f t="shared" si="5"/>
        <v>Manjusha Sinha</v>
      </c>
      <c r="C55" s="12">
        <f t="shared" si="6"/>
        <v>0.34311342592592592</v>
      </c>
      <c r="D55" s="12">
        <f t="shared" si="7"/>
        <v>0.21112268518518518</v>
      </c>
      <c r="E55" s="12">
        <f t="shared" si="8"/>
        <v>4.9062500000000002E-2</v>
      </c>
      <c r="F55">
        <f t="shared" si="9"/>
        <v>44</v>
      </c>
      <c r="G55" s="13">
        <f t="shared" si="10"/>
        <v>0.54639905548996504</v>
      </c>
    </row>
    <row r="56" spans="1:7">
      <c r="A56" t="str">
        <f>Break!A56</f>
        <v>Hyd_ManjuTiwari Lab (1008566)</v>
      </c>
      <c r="B56" t="str">
        <f t="shared" si="5"/>
        <v>ManjuTiwari Lab</v>
      </c>
      <c r="C56" s="12">
        <f t="shared" si="6"/>
        <v>0.32046296296296295</v>
      </c>
      <c r="D56" s="12">
        <f t="shared" si="7"/>
        <v>0.18484953703703702</v>
      </c>
      <c r="E56" s="12">
        <f t="shared" si="8"/>
        <v>4.9143518518518524E-2</v>
      </c>
      <c r="F56">
        <f t="shared" si="9"/>
        <v>43</v>
      </c>
      <c r="G56" s="13">
        <f t="shared" si="10"/>
        <v>0.52849609939323905</v>
      </c>
    </row>
    <row r="57" spans="1:7">
      <c r="A57" t="str">
        <f>Break!A57</f>
        <v>Hyd_Manoj Kumar (1008567)</v>
      </c>
      <c r="B57" t="str">
        <f t="shared" si="5"/>
        <v>Manoj Kumar</v>
      </c>
      <c r="C57" s="12">
        <f t="shared" si="6"/>
        <v>0.33384259259259258</v>
      </c>
      <c r="D57" s="12">
        <f t="shared" si="7"/>
        <v>0.1867824074074074</v>
      </c>
      <c r="E57" s="12">
        <f t="shared" si="8"/>
        <v>4.853009259259259E-2</v>
      </c>
      <c r="F57">
        <f t="shared" si="9"/>
        <v>42</v>
      </c>
      <c r="G57" s="13">
        <f t="shared" si="10"/>
        <v>0.53279711551795905</v>
      </c>
    </row>
    <row r="58" spans="1:7">
      <c r="A58" t="str">
        <f>Break!A58</f>
        <v>Hyd_Manoj Kumar (1008568)</v>
      </c>
      <c r="B58" t="str">
        <f t="shared" si="5"/>
        <v>Manoj Kumar</v>
      </c>
      <c r="C58" s="12">
        <f t="shared" si="6"/>
        <v>0.33012731481481478</v>
      </c>
      <c r="D58" s="12">
        <f t="shared" si="7"/>
        <v>0.18739583333333332</v>
      </c>
      <c r="E58" s="12">
        <f t="shared" si="8"/>
        <v>5.2766203703703697E-2</v>
      </c>
      <c r="F58">
        <f t="shared" si="9"/>
        <v>41</v>
      </c>
      <c r="G58" s="13">
        <f t="shared" si="10"/>
        <v>0.53150089401535605</v>
      </c>
    </row>
    <row r="59" spans="1:7">
      <c r="A59" t="str">
        <f>Break!A59</f>
        <v>Hyd_Masroor Adil (1008569)</v>
      </c>
      <c r="B59" t="str">
        <f t="shared" si="5"/>
        <v>Masroor Adil</v>
      </c>
      <c r="C59" s="12">
        <f t="shared" si="6"/>
        <v>0.34032407407407406</v>
      </c>
      <c r="D59" s="12">
        <f t="shared" si="7"/>
        <v>0.21151620370370372</v>
      </c>
      <c r="E59" s="12">
        <f t="shared" si="8"/>
        <v>4.9756944444444444E-2</v>
      </c>
      <c r="F59">
        <f t="shared" si="9"/>
        <v>40</v>
      </c>
      <c r="G59" s="13">
        <f t="shared" si="10"/>
        <v>0.58954564004897303</v>
      </c>
    </row>
    <row r="60" spans="1:7">
      <c r="A60" t="str">
        <f>Break!A60</f>
        <v>Hyd_Meena Zinjare (1008570)</v>
      </c>
      <c r="B60" t="str">
        <f t="shared" si="5"/>
        <v>Meena Zinjare</v>
      </c>
      <c r="C60" s="12">
        <f t="shared" si="6"/>
        <v>0.33714120370370365</v>
      </c>
      <c r="D60" s="12">
        <f t="shared" si="7"/>
        <v>0.13162037037037036</v>
      </c>
      <c r="E60" s="12">
        <f t="shared" si="8"/>
        <v>0.14913194444444444</v>
      </c>
      <c r="F60">
        <f t="shared" si="9"/>
        <v>39</v>
      </c>
      <c r="G60" s="13">
        <f t="shared" si="10"/>
        <v>0.34903360911806097</v>
      </c>
    </row>
    <row r="61" spans="1:7">
      <c r="A61" t="str">
        <f>Break!A61</f>
        <v>Hyd_Mehnaz Khan (1008571)</v>
      </c>
      <c r="B61" t="str">
        <f t="shared" si="5"/>
        <v>Mehnaz Khan</v>
      </c>
      <c r="C61" s="12">
        <f t="shared" si="6"/>
        <v>0.34364583333333337</v>
      </c>
      <c r="D61" s="12">
        <f t="shared" si="7"/>
        <v>0.17246527777777776</v>
      </c>
      <c r="E61" s="12">
        <f t="shared" si="8"/>
        <v>9.194444444444444E-2</v>
      </c>
      <c r="F61">
        <f t="shared" si="9"/>
        <v>38</v>
      </c>
      <c r="G61" s="13">
        <f t="shared" si="10"/>
        <v>0.47933717288067101</v>
      </c>
    </row>
    <row r="62" spans="1:7">
      <c r="A62" t="str">
        <f>Break!A62</f>
        <v>Hyd_Mercy Thampi (1008572)</v>
      </c>
      <c r="B62" t="str">
        <f t="shared" si="5"/>
        <v>Mercy Thampi</v>
      </c>
      <c r="C62" s="12">
        <f t="shared" si="6"/>
        <v>0.21915509259259258</v>
      </c>
      <c r="D62" s="12">
        <f t="shared" si="7"/>
        <v>0.15189814814814814</v>
      </c>
      <c r="E62" s="12">
        <f t="shared" si="8"/>
        <v>1.082175925925926E-2</v>
      </c>
      <c r="F62">
        <f t="shared" si="9"/>
        <v>37</v>
      </c>
      <c r="G62" s="13">
        <f t="shared" si="10"/>
        <v>0.62762080802746201</v>
      </c>
    </row>
    <row r="63" spans="1:7">
      <c r="A63" t="str">
        <f>Break!A63</f>
        <v>Hyd_Miny Mole (1008573)</v>
      </c>
      <c r="B63" t="str">
        <f t="shared" si="5"/>
        <v>Miny Mole</v>
      </c>
      <c r="C63" s="12">
        <f t="shared" si="6"/>
        <v>0.3417824074074074</v>
      </c>
      <c r="D63" s="12">
        <f t="shared" si="7"/>
        <v>0.17645833333333336</v>
      </c>
      <c r="E63" s="12">
        <f t="shared" si="8"/>
        <v>9.2442129629629624E-2</v>
      </c>
      <c r="F63">
        <f t="shared" si="9"/>
        <v>36</v>
      </c>
      <c r="G63" s="13">
        <f t="shared" si="10"/>
        <v>0.47561801557737898</v>
      </c>
    </row>
    <row r="64" spans="1:7">
      <c r="A64" t="str">
        <f>Break!A64</f>
        <v>Hyd_Mohd Rafi (1008574)</v>
      </c>
      <c r="B64" t="str">
        <f t="shared" si="5"/>
        <v>Mohd Rafi</v>
      </c>
      <c r="C64" s="12">
        <f t="shared" si="6"/>
        <v>0.33370370370370367</v>
      </c>
      <c r="D64" s="12">
        <f t="shared" si="7"/>
        <v>0.16336805555555556</v>
      </c>
      <c r="E64" s="12">
        <f t="shared" si="8"/>
        <v>0.11005787037037036</v>
      </c>
      <c r="F64">
        <f t="shared" si="9"/>
        <v>35</v>
      </c>
      <c r="G64" s="13">
        <f t="shared" si="10"/>
        <v>0.43635543840177599</v>
      </c>
    </row>
    <row r="65" spans="1:7">
      <c r="A65" t="str">
        <f>Break!A65</f>
        <v>Hyd_Mubeen Khan (1008575)</v>
      </c>
      <c r="B65" t="str">
        <f t="shared" si="5"/>
        <v>Mubeen Khan</v>
      </c>
      <c r="C65" s="12">
        <f t="shared" si="6"/>
        <v>0.33026620370370369</v>
      </c>
      <c r="D65" s="12">
        <f t="shared" si="7"/>
        <v>0.16021990740740741</v>
      </c>
      <c r="E65" s="12">
        <f t="shared" si="8"/>
        <v>0.10043981481481483</v>
      </c>
      <c r="F65">
        <f t="shared" si="9"/>
        <v>34</v>
      </c>
      <c r="G65" s="13">
        <f t="shared" si="10"/>
        <v>0.451270369721395</v>
      </c>
    </row>
    <row r="66" spans="1:7">
      <c r="A66" t="str">
        <f>Break!A66</f>
        <v>Hyd_Mukesh Nagar (1008576)</v>
      </c>
      <c r="B66" t="str">
        <f t="shared" si="5"/>
        <v>Mukesh Nagar</v>
      </c>
      <c r="C66" s="12">
        <f t="shared" ref="C66:C97" si="11">TIMEVALUE(VLOOKUP(A66,EData,2,0))</f>
        <v>0.20910879629629631</v>
      </c>
      <c r="D66" s="12">
        <f t="shared" ref="D66:D97" si="12">TIMEVALUE(VLOOKUP(A66,EData,3,0))</f>
        <v>0.13449074074074074</v>
      </c>
      <c r="E66" s="12">
        <f t="shared" ref="E66:E97" si="13">TIMEVALUE(VLOOKUP(A66,BData,9,0))</f>
        <v>2.0532407407407405E-2</v>
      </c>
      <c r="F66">
        <f t="shared" ref="F66:F97" si="14">VLOOKUP(A66,PData,2,0)</f>
        <v>33</v>
      </c>
      <c r="G66" s="13">
        <f t="shared" ref="G66:G97" si="15">VLOOKUP(A66,EData,6,0)</f>
        <v>0.61244257486024201</v>
      </c>
    </row>
    <row r="67" spans="1:7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>
        <f t="shared" si="13"/>
        <v>5.1423611111111107E-2</v>
      </c>
      <c r="F67">
        <f t="shared" si="14"/>
        <v>32</v>
      </c>
      <c r="G67" s="13">
        <f t="shared" si="15"/>
        <v>0.51755872288115901</v>
      </c>
    </row>
    <row r="68" spans="1:7">
      <c r="A68" t="str">
        <f>Break!A68</f>
        <v>Hyd_Narayan Singh (1008578)</v>
      </c>
      <c r="B68" t="str">
        <f t="shared" si="16"/>
        <v>Narayan Singh</v>
      </c>
      <c r="C68" s="12">
        <f t="shared" si="11"/>
        <v>0.34686342592592595</v>
      </c>
      <c r="D68" s="12">
        <f t="shared" si="12"/>
        <v>0.2043865740740741</v>
      </c>
      <c r="E68" s="12">
        <f t="shared" si="13"/>
        <v>4.7534722222222221E-2</v>
      </c>
      <c r="F68">
        <f t="shared" si="14"/>
        <v>31</v>
      </c>
      <c r="G68" s="13">
        <f t="shared" si="15"/>
        <v>0.55550735760285597</v>
      </c>
    </row>
    <row r="69" spans="1:7">
      <c r="A69" t="str">
        <f>Break!A69</f>
        <v>Hyd_Neeraj Saxena (1008579)</v>
      </c>
      <c r="B69" t="str">
        <f t="shared" si="16"/>
        <v>Neeraj Saxena</v>
      </c>
      <c r="C69" s="12">
        <f t="shared" si="11"/>
        <v>0.3480671296296296</v>
      </c>
      <c r="D69" s="12">
        <f t="shared" si="12"/>
        <v>0.19177083333333333</v>
      </c>
      <c r="E69" s="12">
        <f t="shared" si="13"/>
        <v>9.3958333333333324E-2</v>
      </c>
      <c r="F69">
        <f t="shared" si="14"/>
        <v>30</v>
      </c>
      <c r="G69" s="13">
        <f t="shared" si="15"/>
        <v>0.45535862734013899</v>
      </c>
    </row>
    <row r="70" spans="1:7">
      <c r="A70" t="str">
        <f>Break!A70</f>
        <v>Hyd_Neeru Mehta (1008580)</v>
      </c>
      <c r="B70" t="str">
        <f t="shared" si="16"/>
        <v>Neeru Mehta</v>
      </c>
      <c r="C70" s="12">
        <f t="shared" si="11"/>
        <v>0.33495370370370375</v>
      </c>
      <c r="D70" s="12">
        <f t="shared" si="12"/>
        <v>0.19739583333333333</v>
      </c>
      <c r="E70" s="12">
        <f t="shared" si="13"/>
        <v>4.8645833333333333E-2</v>
      </c>
      <c r="F70">
        <f t="shared" si="14"/>
        <v>29</v>
      </c>
      <c r="G70" s="13">
        <f t="shared" si="15"/>
        <v>0.53445058742225304</v>
      </c>
    </row>
    <row r="71" spans="1:7">
      <c r="A71" t="str">
        <f>Break!A71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>
        <f t="shared" si="13"/>
        <v>6.7650462962962968E-2</v>
      </c>
      <c r="F71">
        <f t="shared" si="14"/>
        <v>28</v>
      </c>
      <c r="G71" s="13">
        <f t="shared" si="15"/>
        <v>0.55914916459773201</v>
      </c>
    </row>
    <row r="72" spans="1:7">
      <c r="A72" t="str">
        <f>Break!A72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>
        <f t="shared" si="13"/>
        <v>4.853009259259259E-2</v>
      </c>
      <c r="F72">
        <f t="shared" si="14"/>
        <v>29</v>
      </c>
      <c r="G72" s="13">
        <f t="shared" si="15"/>
        <v>0.56847106148351101</v>
      </c>
    </row>
    <row r="73" spans="1:7">
      <c r="A73" t="str">
        <f>Break!A73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0.1849652777777778</v>
      </c>
      <c r="E73" s="12">
        <f t="shared" si="13"/>
        <v>6.6701388888888893E-2</v>
      </c>
      <c r="F73">
        <f t="shared" si="14"/>
        <v>30</v>
      </c>
      <c r="G73" s="13">
        <f t="shared" si="15"/>
        <v>0.47509108744394601</v>
      </c>
    </row>
    <row r="74" spans="1:7">
      <c r="A74" t="str">
        <f>Break!A74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>
        <f t="shared" si="13"/>
        <v>9.1597222222222219E-2</v>
      </c>
      <c r="F74">
        <f t="shared" si="14"/>
        <v>31</v>
      </c>
      <c r="G74" s="13">
        <f t="shared" si="15"/>
        <v>0.47578531804104401</v>
      </c>
    </row>
    <row r="75" spans="1:7">
      <c r="A75" t="str">
        <f>Break!A75</f>
        <v>Hyd_Owais Mohd (1008585)</v>
      </c>
      <c r="B75" t="str">
        <f t="shared" si="16"/>
        <v>Owais Mohd</v>
      </c>
      <c r="C75" s="12">
        <f t="shared" si="11"/>
        <v>0.33415509259259263</v>
      </c>
      <c r="D75" s="12">
        <f t="shared" si="12"/>
        <v>0.16863425925925926</v>
      </c>
      <c r="E75" s="12">
        <f t="shared" si="13"/>
        <v>0.10168981481481482</v>
      </c>
      <c r="F75">
        <f t="shared" si="14"/>
        <v>32</v>
      </c>
      <c r="G75" s="13">
        <f t="shared" si="15"/>
        <v>0.46898271622042897</v>
      </c>
    </row>
    <row r="76" spans="1:7">
      <c r="A76" t="str">
        <f>Break!A76</f>
        <v>Hyd_Pankaj Shelkey (1008586)</v>
      </c>
      <c r="B76" t="str">
        <f t="shared" si="16"/>
        <v>Pankaj Shelkey</v>
      </c>
      <c r="C76" s="12">
        <f t="shared" si="11"/>
        <v>0.34437500000000004</v>
      </c>
      <c r="D76" s="12">
        <f t="shared" si="12"/>
        <v>0.18534722222222222</v>
      </c>
      <c r="E76" s="12">
        <f t="shared" si="13"/>
        <v>8.0162037037037046E-2</v>
      </c>
      <c r="F76">
        <f t="shared" si="14"/>
        <v>33</v>
      </c>
      <c r="G76" s="13">
        <f t="shared" si="15"/>
        <v>0.51361161524500898</v>
      </c>
    </row>
    <row r="77" spans="1:7">
      <c r="A77" t="str">
        <f>Break!A77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>
        <f t="shared" si="13"/>
        <v>6.8541666666666667E-2</v>
      </c>
      <c r="F77">
        <f t="shared" si="14"/>
        <v>34</v>
      </c>
      <c r="G77" s="13">
        <f t="shared" si="15"/>
        <v>0.525112224318522</v>
      </c>
    </row>
    <row r="78" spans="1:7">
      <c r="A78" t="str">
        <f>Break!A78</f>
        <v>Hyd_Prabha Desikan (1008588)</v>
      </c>
      <c r="B78" t="str">
        <f t="shared" si="16"/>
        <v>Prabha Desikan</v>
      </c>
      <c r="C78" s="12">
        <f t="shared" si="11"/>
        <v>0.34848379629629633</v>
      </c>
      <c r="D78" s="12">
        <f t="shared" si="12"/>
        <v>0.12767361111111111</v>
      </c>
      <c r="E78" s="12">
        <f t="shared" si="13"/>
        <v>0.17460648148148147</v>
      </c>
      <c r="F78">
        <f t="shared" si="14"/>
        <v>35</v>
      </c>
      <c r="G78" s="13">
        <f t="shared" si="15"/>
        <v>0.348600086352918</v>
      </c>
    </row>
    <row r="79" spans="1:7">
      <c r="A79" t="str">
        <f>Break!A79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>
        <f t="shared" si="13"/>
        <v>0.18131944444444445</v>
      </c>
      <c r="F79">
        <f t="shared" si="14"/>
        <v>36</v>
      </c>
      <c r="G79" s="13">
        <f t="shared" si="15"/>
        <v>0.314709762532982</v>
      </c>
    </row>
    <row r="80" spans="1:7">
      <c r="A80" t="str">
        <f>Break!A80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0.21581018518518516</v>
      </c>
      <c r="E80" s="12">
        <f t="shared" si="13"/>
        <v>4.8900462962962965E-2</v>
      </c>
      <c r="F80">
        <f t="shared" si="14"/>
        <v>37</v>
      </c>
      <c r="G80" s="13">
        <f t="shared" si="15"/>
        <v>0.55600710333993597</v>
      </c>
    </row>
    <row r="81" spans="1:7">
      <c r="A81" t="str">
        <f>Break!A81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>
        <f t="shared" si="13"/>
        <v>0.10935185185185185</v>
      </c>
      <c r="F81">
        <f t="shared" si="14"/>
        <v>38</v>
      </c>
      <c r="G81" s="13">
        <f t="shared" si="15"/>
        <v>0.46221628838451301</v>
      </c>
    </row>
    <row r="82" spans="1:7">
      <c r="A82" t="str">
        <f>Break!A82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>
        <f t="shared" si="13"/>
        <v>0.13890046296296296</v>
      </c>
      <c r="F82">
        <f t="shared" si="14"/>
        <v>39</v>
      </c>
      <c r="G82" s="13">
        <f t="shared" si="15"/>
        <v>0.39075685654008402</v>
      </c>
    </row>
    <row r="83" spans="1:7">
      <c r="A83" t="str">
        <f>Break!A83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>
        <f t="shared" si="13"/>
        <v>4.7592592592592596E-2</v>
      </c>
      <c r="F83">
        <f t="shared" si="14"/>
        <v>40</v>
      </c>
      <c r="G83" s="13">
        <f t="shared" si="15"/>
        <v>0.54713623850130899</v>
      </c>
    </row>
    <row r="84" spans="1:7">
      <c r="A84" t="str">
        <f>Break!A84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>
        <f t="shared" si="13"/>
        <v>2.1064814814814814E-2</v>
      </c>
      <c r="F84">
        <f t="shared" si="14"/>
        <v>41</v>
      </c>
      <c r="G84" s="13">
        <f t="shared" si="15"/>
        <v>0.61457229509993805</v>
      </c>
    </row>
    <row r="85" spans="1:7">
      <c r="A85" t="str">
        <f>Break!A85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>
        <f t="shared" si="13"/>
        <v>4.7731481481481486E-2</v>
      </c>
      <c r="F85">
        <f t="shared" si="14"/>
        <v>42</v>
      </c>
      <c r="G85" s="13">
        <f t="shared" si="15"/>
        <v>0.55335578460387103</v>
      </c>
    </row>
    <row r="86" spans="1:7">
      <c r="A86" t="str">
        <f>Break!A86</f>
        <v>Hyd_Rajeev Garg (1008596)</v>
      </c>
      <c r="B86" t="str">
        <f t="shared" si="16"/>
        <v>Rajeev Garg</v>
      </c>
      <c r="C86" s="12">
        <f t="shared" si="11"/>
        <v>0.33611111111111108</v>
      </c>
      <c r="D86" s="12">
        <f t="shared" si="12"/>
        <v>0.21214120370370371</v>
      </c>
      <c r="E86" s="12">
        <f t="shared" si="13"/>
        <v>4.7500000000000007E-2</v>
      </c>
      <c r="F86">
        <f t="shared" si="14"/>
        <v>43</v>
      </c>
      <c r="G86" s="13">
        <f t="shared" si="15"/>
        <v>0.611363636363636</v>
      </c>
    </row>
    <row r="87" spans="1:7">
      <c r="A87" t="str">
        <f>Break!A87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>
        <f t="shared" si="13"/>
        <v>6.7430555555555563E-2</v>
      </c>
      <c r="F87">
        <f t="shared" si="14"/>
        <v>44</v>
      </c>
      <c r="G87" s="13">
        <f t="shared" si="15"/>
        <v>0.51217732689434703</v>
      </c>
    </row>
    <row r="88" spans="1:7">
      <c r="A88" t="str">
        <f>Break!A88</f>
        <v>Hyd_Rajendra Gupta (1008598)</v>
      </c>
      <c r="B88" t="str">
        <f t="shared" si="16"/>
        <v>Rajendra Gupta</v>
      </c>
      <c r="C88" s="12">
        <f t="shared" si="11"/>
        <v>0.35135416666666663</v>
      </c>
      <c r="D88" s="12">
        <f t="shared" si="12"/>
        <v>0.20708333333333331</v>
      </c>
      <c r="E88" s="12">
        <f t="shared" si="13"/>
        <v>5.4953703703703706E-2</v>
      </c>
      <c r="F88">
        <f t="shared" si="14"/>
        <v>45</v>
      </c>
      <c r="G88" s="13">
        <f t="shared" si="15"/>
        <v>0.56029910728991705</v>
      </c>
    </row>
    <row r="89" spans="1:7">
      <c r="A89" t="str">
        <f>Break!A89</f>
        <v>Hyd_Rajendra Kumar (1008599)</v>
      </c>
      <c r="B89" t="str">
        <f t="shared" si="16"/>
        <v>Rajendra Kumar</v>
      </c>
      <c r="C89" s="12">
        <f t="shared" si="11"/>
        <v>0.34356481481481477</v>
      </c>
      <c r="D89" s="12">
        <f t="shared" si="12"/>
        <v>0.16344907407407408</v>
      </c>
      <c r="E89" s="12">
        <f t="shared" si="13"/>
        <v>0.10712962962962963</v>
      </c>
      <c r="F89">
        <f t="shared" si="14"/>
        <v>46</v>
      </c>
      <c r="G89" s="13">
        <f t="shared" si="15"/>
        <v>0.42891793558819602</v>
      </c>
    </row>
    <row r="90" spans="1:7">
      <c r="A90" t="str">
        <f>Break!A90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>
        <f t="shared" si="13"/>
        <v>0.29744212962962963</v>
      </c>
      <c r="F90">
        <f t="shared" si="14"/>
        <v>47</v>
      </c>
      <c r="G90" s="13">
        <f t="shared" si="15"/>
        <v>9.4547987000066294E-2</v>
      </c>
    </row>
    <row r="91" spans="1:7">
      <c r="A91" t="str">
        <f>Break!A91</f>
        <v>Hyd_Rajesh Kumar (1008601)</v>
      </c>
      <c r="B91" t="str">
        <f t="shared" si="16"/>
        <v>Rajesh Kumar</v>
      </c>
      <c r="C91" s="12">
        <f t="shared" si="11"/>
        <v>0.33378472222222227</v>
      </c>
      <c r="D91" s="12">
        <f t="shared" si="12"/>
        <v>0.21655092592592592</v>
      </c>
      <c r="E91" s="12">
        <f t="shared" si="13"/>
        <v>5.004629629629629E-2</v>
      </c>
      <c r="F91">
        <f t="shared" si="14"/>
        <v>48</v>
      </c>
      <c r="G91" s="13">
        <f t="shared" si="15"/>
        <v>0.61021533340268397</v>
      </c>
    </row>
    <row r="92" spans="1:7">
      <c r="A92" t="str">
        <f>Break!A92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>
        <f t="shared" si="13"/>
        <v>8.790509259259259E-2</v>
      </c>
      <c r="F92">
        <f t="shared" si="14"/>
        <v>49</v>
      </c>
      <c r="G92" s="13">
        <f t="shared" si="15"/>
        <v>0.51260926353863201</v>
      </c>
    </row>
    <row r="93" spans="1:7">
      <c r="A93" t="str">
        <f>Break!A93</f>
        <v>Hyd_Rajesh Sharma (1008603)</v>
      </c>
      <c r="B93" t="str">
        <f t="shared" si="16"/>
        <v>Rajesh Sharma</v>
      </c>
      <c r="C93" s="12">
        <f t="shared" si="11"/>
        <v>0.21146990740740743</v>
      </c>
      <c r="D93" s="12">
        <f t="shared" si="12"/>
        <v>0.14190972222222223</v>
      </c>
      <c r="E93" s="12">
        <f t="shared" si="13"/>
        <v>1.6979166666666667E-2</v>
      </c>
      <c r="F93">
        <f t="shared" si="14"/>
        <v>50</v>
      </c>
      <c r="G93" s="13">
        <f t="shared" si="15"/>
        <v>0.62426796562859199</v>
      </c>
    </row>
    <row r="94" spans="1:7">
      <c r="A94" t="str">
        <f>Break!A94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</v>
      </c>
      <c r="E94" s="12">
        <f t="shared" si="13"/>
        <v>4.8240740740740744E-2</v>
      </c>
      <c r="F94">
        <f t="shared" si="14"/>
        <v>51</v>
      </c>
      <c r="G94" s="13">
        <f t="shared" si="15"/>
        <v>0.54373153085832704</v>
      </c>
    </row>
    <row r="95" spans="1:7">
      <c r="A95" t="str">
        <f>Break!A95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>
        <f t="shared" si="13"/>
        <v>0.34385416666666663</v>
      </c>
      <c r="F95">
        <f t="shared" si="14"/>
        <v>52</v>
      </c>
      <c r="G95" s="13">
        <f t="shared" si="15"/>
        <v>0</v>
      </c>
    </row>
    <row r="96" spans="1:7">
      <c r="A96" t="str">
        <f>Break!A96</f>
        <v>Hyd_Rakhi Jodhani (1008606)</v>
      </c>
      <c r="B96" t="str">
        <f t="shared" si="16"/>
        <v>Rakhi Jodhani</v>
      </c>
      <c r="C96" s="12">
        <f t="shared" si="11"/>
        <v>0.33532407407407411</v>
      </c>
      <c r="D96" s="12">
        <f t="shared" si="12"/>
        <v>5.0763888888888886E-2</v>
      </c>
      <c r="E96" s="12">
        <f t="shared" si="13"/>
        <v>0.27759259259259261</v>
      </c>
      <c r="F96">
        <f t="shared" si="14"/>
        <v>53</v>
      </c>
      <c r="G96" s="13">
        <f t="shared" si="15"/>
        <v>0.14431174927516199</v>
      </c>
    </row>
    <row r="97" spans="1:7">
      <c r="A97" t="str">
        <f>Break!A97</f>
        <v>Hyd_Ramji Prasad (1008607)</v>
      </c>
      <c r="B97" t="str">
        <f t="shared" si="16"/>
        <v>Ramji Prasad</v>
      </c>
      <c r="C97" s="12">
        <f t="shared" si="11"/>
        <v>0.34682870370370367</v>
      </c>
      <c r="D97" s="12">
        <f t="shared" si="12"/>
        <v>0.20351851851851852</v>
      </c>
      <c r="E97" s="12">
        <f t="shared" si="13"/>
        <v>5.122685185185185E-2</v>
      </c>
      <c r="F97">
        <f t="shared" si="14"/>
        <v>54</v>
      </c>
      <c r="G97" s="13">
        <f t="shared" si="15"/>
        <v>0.55259293866381898</v>
      </c>
    </row>
    <row r="98" spans="1:7">
      <c r="A98" t="str">
        <f>Break!A98</f>
        <v>Del_Rashid (1008608)</v>
      </c>
      <c r="B98" t="str">
        <f t="shared" si="16"/>
        <v>Rashid</v>
      </c>
      <c r="C98" s="12">
        <f t="shared" ref="C98:C129" si="17">TIMEVALUE(VLOOKUP(A98,EData,2,0))</f>
        <v>0.33483796296296298</v>
      </c>
      <c r="D98" s="12">
        <f t="shared" ref="D98:D129" si="18">TIMEVALUE(VLOOKUP(A98,EData,3,0))</f>
        <v>6.6759259259259254E-2</v>
      </c>
      <c r="E98" s="12">
        <f t="shared" ref="E98:E129" si="19">TIMEVALUE(VLOOKUP(A98,BData,9,0))</f>
        <v>0.23973379629629629</v>
      </c>
      <c r="F98">
        <f t="shared" ref="F98:F129" si="20">VLOOKUP(A98,PData,2,0)</f>
        <v>55</v>
      </c>
      <c r="G98" s="13">
        <f t="shared" ref="G98:G129" si="21">VLOOKUP(A98,EData,6,0)</f>
        <v>0.18938817836156199</v>
      </c>
    </row>
    <row r="99" spans="1:7">
      <c r="A99" t="str">
        <f>Break!A99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>
        <f t="shared" si="19"/>
        <v>8.6782407407407405E-2</v>
      </c>
      <c r="F99">
        <f t="shared" si="20"/>
        <v>56</v>
      </c>
      <c r="G99" s="13">
        <f t="shared" si="21"/>
        <v>0.47077424938419499</v>
      </c>
    </row>
    <row r="100" spans="1:7">
      <c r="A100" t="str">
        <f>Break!A100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>
        <f t="shared" si="19"/>
        <v>4.9467592592592591E-2</v>
      </c>
      <c r="F100">
        <f t="shared" si="20"/>
        <v>57</v>
      </c>
      <c r="G100" s="13">
        <f t="shared" si="21"/>
        <v>0.53862155040909698</v>
      </c>
    </row>
    <row r="101" spans="1:7">
      <c r="A101" t="str">
        <f>Break!A101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>
        <f t="shared" si="19"/>
        <v>4.8240740740740744E-2</v>
      </c>
      <c r="F101">
        <f t="shared" si="20"/>
        <v>58</v>
      </c>
      <c r="G101" s="13">
        <f t="shared" si="21"/>
        <v>0.53294365856189296</v>
      </c>
    </row>
    <row r="102" spans="1:7">
      <c r="A102" t="str">
        <f>Break!A102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</v>
      </c>
      <c r="E102" s="12">
        <f t="shared" si="19"/>
        <v>0.11229166666666668</v>
      </c>
      <c r="F102">
        <f t="shared" si="20"/>
        <v>59</v>
      </c>
      <c r="G102" s="13">
        <f t="shared" si="21"/>
        <v>0.41310286360211002</v>
      </c>
    </row>
    <row r="103" spans="1:7">
      <c r="A103" t="str">
        <f>Break!A103</f>
        <v>Del_Rekha Gupta (1008613)</v>
      </c>
      <c r="B103" t="str">
        <f t="shared" si="16"/>
        <v>Rekha Gupta</v>
      </c>
      <c r="C103" s="12">
        <f t="shared" si="17"/>
        <v>0.34446759259259263</v>
      </c>
      <c r="D103" s="12">
        <f t="shared" si="18"/>
        <v>0.18254629629629629</v>
      </c>
      <c r="E103" s="12">
        <f t="shared" si="19"/>
        <v>7.6817129629629624E-2</v>
      </c>
      <c r="F103">
        <f t="shared" si="20"/>
        <v>60</v>
      </c>
      <c r="G103" s="13">
        <f t="shared" si="21"/>
        <v>0.50483838451717</v>
      </c>
    </row>
    <row r="104" spans="1:7">
      <c r="A104" t="str">
        <f>Break!A104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>
        <f t="shared" si="19"/>
        <v>6.732638888888888E-2</v>
      </c>
      <c r="F104">
        <f t="shared" si="20"/>
        <v>61</v>
      </c>
      <c r="G104" s="13">
        <f t="shared" si="21"/>
        <v>0.52390558805729304</v>
      </c>
    </row>
    <row r="105" spans="1:7">
      <c r="A105" t="str">
        <f>Break!A105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>
        <f t="shared" si="19"/>
        <v>0.21383101851851852</v>
      </c>
      <c r="F105">
        <f t="shared" si="20"/>
        <v>62</v>
      </c>
      <c r="G105" s="13">
        <f t="shared" si="21"/>
        <v>0.25444780127559602</v>
      </c>
    </row>
    <row r="106" spans="1:7">
      <c r="A106" t="str">
        <f>Break!A106</f>
        <v>Del_Ritu Bhatnagar (1008616)</v>
      </c>
      <c r="B106" t="str">
        <f t="shared" si="16"/>
        <v>Ritu Bhatnagar</v>
      </c>
      <c r="C106" s="12">
        <f t="shared" si="17"/>
        <v>0.33458333333333329</v>
      </c>
      <c r="D106" s="12">
        <f t="shared" si="18"/>
        <v>0.20292824074074076</v>
      </c>
      <c r="E106" s="12">
        <f t="shared" si="19"/>
        <v>5.092592592592593E-2</v>
      </c>
      <c r="F106">
        <f t="shared" si="20"/>
        <v>63</v>
      </c>
      <c r="G106" s="13">
        <f t="shared" si="21"/>
        <v>0.55517503805174995</v>
      </c>
    </row>
    <row r="107" spans="1:7">
      <c r="A107" t="str">
        <f>Break!A107</f>
        <v>Del_Rohit Nishchal (1008617)</v>
      </c>
      <c r="B107" t="str">
        <f t="shared" si="16"/>
        <v>Rohit Nishchal</v>
      </c>
      <c r="C107" s="12">
        <f t="shared" si="17"/>
        <v>0.34524305555555551</v>
      </c>
      <c r="D107" s="12" t="e">
        <f t="shared" si="18"/>
        <v>#VALUE!</v>
      </c>
      <c r="E107" s="12">
        <f t="shared" si="19"/>
        <v>0.34513888888888888</v>
      </c>
      <c r="F107">
        <f t="shared" si="20"/>
        <v>64</v>
      </c>
      <c r="G107" s="13">
        <f t="shared" si="21"/>
        <v>0</v>
      </c>
    </row>
    <row r="108" spans="1:7">
      <c r="A108" t="str">
        <f>Break!A108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>
        <f t="shared" si="19"/>
        <v>9.0462962962962967E-2</v>
      </c>
      <c r="F108">
        <f t="shared" si="20"/>
        <v>65</v>
      </c>
      <c r="G108" s="13">
        <f t="shared" si="21"/>
        <v>0.477120667047709</v>
      </c>
    </row>
    <row r="109" spans="1:7">
      <c r="A109" t="str">
        <f>Break!A109</f>
        <v>Del_Roma Rastogi (1008619)</v>
      </c>
      <c r="B109" t="str">
        <f t="shared" si="16"/>
        <v>Roma Rastogi</v>
      </c>
      <c r="C109" s="12">
        <f t="shared" si="17"/>
        <v>0.35488425925925932</v>
      </c>
      <c r="D109" s="12">
        <f t="shared" si="18"/>
        <v>0.23307870370370373</v>
      </c>
      <c r="E109" s="12">
        <f t="shared" si="19"/>
        <v>3.7349537037037035E-2</v>
      </c>
      <c r="F109">
        <f t="shared" si="20"/>
        <v>66</v>
      </c>
      <c r="G109" s="13">
        <f t="shared" si="21"/>
        <v>0.61917030852521004</v>
      </c>
    </row>
    <row r="110" spans="1:7">
      <c r="A110" t="str">
        <f>Break!A110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>
        <f t="shared" si="19"/>
        <v>4.8194444444444449E-2</v>
      </c>
      <c r="F110">
        <f t="shared" si="20"/>
        <v>67</v>
      </c>
      <c r="G110" s="13">
        <f t="shared" si="21"/>
        <v>0.55305265350039901</v>
      </c>
    </row>
    <row r="111" spans="1:7">
      <c r="A111" t="str">
        <f>Break!A111</f>
        <v>Del_Sajid Naqvi (1008621)</v>
      </c>
      <c r="B111" t="str">
        <f t="shared" si="16"/>
        <v>Sajid Naqvi</v>
      </c>
      <c r="C111" s="12">
        <f t="shared" si="17"/>
        <v>0.34430555555555559</v>
      </c>
      <c r="D111" s="12">
        <f t="shared" si="18"/>
        <v>0.20876157407407406</v>
      </c>
      <c r="E111" s="12">
        <f t="shared" si="19"/>
        <v>4.7685185185185185E-2</v>
      </c>
      <c r="F111">
        <f t="shared" si="20"/>
        <v>68</v>
      </c>
      <c r="G111" s="13">
        <f t="shared" si="21"/>
        <v>0.56195374478956595</v>
      </c>
    </row>
    <row r="112" spans="1:7">
      <c r="A112" t="str">
        <f>Break!A112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0.19284722222222225</v>
      </c>
      <c r="E112" s="12">
        <f t="shared" si="19"/>
        <v>8.2974537037037041E-2</v>
      </c>
      <c r="F112">
        <f t="shared" si="20"/>
        <v>69</v>
      </c>
      <c r="G112" s="13">
        <f t="shared" si="21"/>
        <v>0.48780077967468699</v>
      </c>
    </row>
    <row r="113" spans="1:7">
      <c r="A113" t="str">
        <f>Break!A113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>
        <f t="shared" si="19"/>
        <v>4.8414351851851854E-2</v>
      </c>
      <c r="F113">
        <f t="shared" si="20"/>
        <v>70</v>
      </c>
      <c r="G113" s="13">
        <f t="shared" si="21"/>
        <v>0.55414762032804499</v>
      </c>
    </row>
    <row r="114" spans="1:7">
      <c r="A114" t="str">
        <f>Break!A114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>
        <f t="shared" si="19"/>
        <v>4.8784722222222222E-2</v>
      </c>
      <c r="F114">
        <f t="shared" si="20"/>
        <v>71</v>
      </c>
      <c r="G114" s="13">
        <f t="shared" si="21"/>
        <v>0.58651553374572396</v>
      </c>
    </row>
    <row r="115" spans="1:7">
      <c r="A115" t="str">
        <f>Break!A115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>
        <f t="shared" si="19"/>
        <v>5.1342592592592586E-2</v>
      </c>
      <c r="F115">
        <f t="shared" si="20"/>
        <v>72</v>
      </c>
      <c r="G115" s="13">
        <f t="shared" si="21"/>
        <v>0.58165871362322696</v>
      </c>
    </row>
    <row r="116" spans="1:7">
      <c r="A116" t="str">
        <f>Break!A116</f>
        <v>Del_Santosh Kumar (1008626)</v>
      </c>
      <c r="B116" t="str">
        <f t="shared" si="16"/>
        <v>Santosh Kumar</v>
      </c>
      <c r="C116" s="12">
        <f t="shared" si="17"/>
        <v>0.33370370370370367</v>
      </c>
      <c r="D116" s="12">
        <f t="shared" si="18"/>
        <v>0.21053240740740742</v>
      </c>
      <c r="E116" s="12">
        <f t="shared" si="19"/>
        <v>4.8472222222222222E-2</v>
      </c>
      <c r="F116">
        <f t="shared" si="20"/>
        <v>73</v>
      </c>
      <c r="G116" s="13">
        <f t="shared" si="21"/>
        <v>0.59073251942286398</v>
      </c>
    </row>
    <row r="117" spans="1:7">
      <c r="A117" t="str">
        <f>Break!A117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>
        <f t="shared" si="19"/>
        <v>4.9282407407407407E-2</v>
      </c>
      <c r="F117">
        <f t="shared" si="20"/>
        <v>74</v>
      </c>
      <c r="G117" s="13">
        <f t="shared" si="21"/>
        <v>0.58640692060085797</v>
      </c>
    </row>
    <row r="118" spans="1:7">
      <c r="A118" t="str">
        <f>Break!A118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>
        <f t="shared" si="19"/>
        <v>5.0011574074074076E-2</v>
      </c>
      <c r="F118">
        <f t="shared" si="20"/>
        <v>75</v>
      </c>
      <c r="G118" s="13">
        <f t="shared" si="21"/>
        <v>0.54653369681493502</v>
      </c>
    </row>
    <row r="119" spans="1:7">
      <c r="A119" t="str">
        <f>Break!A119</f>
        <v>Del_Sapna Sharma (1008629)</v>
      </c>
      <c r="B119" t="str">
        <f t="shared" si="16"/>
        <v>Sapna Sharma</v>
      </c>
      <c r="C119" s="12">
        <f t="shared" si="17"/>
        <v>0.33627314814814818</v>
      </c>
      <c r="D119" s="12">
        <f t="shared" si="18"/>
        <v>0.18991898148148148</v>
      </c>
      <c r="E119" s="12">
        <f t="shared" si="19"/>
        <v>6.4317129629629641E-2</v>
      </c>
      <c r="F119">
        <f t="shared" si="20"/>
        <v>76</v>
      </c>
      <c r="G119" s="13">
        <f t="shared" si="21"/>
        <v>0.53238796723342696</v>
      </c>
    </row>
    <row r="120" spans="1:7">
      <c r="A120" t="str">
        <f>Break!A120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>
        <f t="shared" si="19"/>
        <v>7.3344907407407414E-2</v>
      </c>
      <c r="F120">
        <f t="shared" si="20"/>
        <v>77</v>
      </c>
      <c r="G120" s="13">
        <f t="shared" si="21"/>
        <v>0.47020989660776702</v>
      </c>
    </row>
    <row r="121" spans="1:7">
      <c r="A121" t="str">
        <f>Break!A121</f>
        <v>Del_Shailaja Kamal (1008631)</v>
      </c>
      <c r="B121" t="str">
        <f t="shared" si="16"/>
        <v>Shailaja Kamal</v>
      </c>
      <c r="C121" s="12">
        <f t="shared" si="17"/>
        <v>0.33974537037037034</v>
      </c>
      <c r="D121" s="12">
        <f t="shared" si="18"/>
        <v>0.20261574074074074</v>
      </c>
      <c r="E121" s="12">
        <f t="shared" si="19"/>
        <v>4.7754629629629626E-2</v>
      </c>
      <c r="F121">
        <f t="shared" si="20"/>
        <v>78</v>
      </c>
      <c r="G121" s="13">
        <f t="shared" si="21"/>
        <v>0.54633099407235797</v>
      </c>
    </row>
    <row r="122" spans="1:7">
      <c r="A122" t="str">
        <f>Break!A122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</v>
      </c>
      <c r="E122" s="12">
        <f t="shared" si="19"/>
        <v>0.15493055555555554</v>
      </c>
      <c r="F122">
        <f t="shared" si="20"/>
        <v>79</v>
      </c>
      <c r="G122" s="13">
        <f t="shared" si="21"/>
        <v>0.38820416638756799</v>
      </c>
    </row>
    <row r="123" spans="1:7">
      <c r="A123" t="str">
        <f>Break!A123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>
        <f t="shared" si="19"/>
        <v>0.13547453703703705</v>
      </c>
      <c r="F123">
        <f t="shared" si="20"/>
        <v>80</v>
      </c>
      <c r="G123" s="13">
        <f t="shared" si="21"/>
        <v>0.40277584042404802</v>
      </c>
    </row>
    <row r="124" spans="1:7">
      <c r="A124" t="str">
        <f>Break!A124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>
        <f t="shared" si="19"/>
        <v>4.8599537037037038E-2</v>
      </c>
      <c r="F124">
        <f t="shared" si="20"/>
        <v>81</v>
      </c>
      <c r="G124" s="13">
        <f t="shared" si="21"/>
        <v>0.54352584610203702</v>
      </c>
    </row>
    <row r="125" spans="1:7">
      <c r="A125" t="str">
        <f>Break!A125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>
        <f t="shared" si="19"/>
        <v>3.8645833333333331E-2</v>
      </c>
      <c r="F125">
        <f t="shared" si="20"/>
        <v>82</v>
      </c>
      <c r="G125" s="13">
        <f t="shared" si="21"/>
        <v>0.28371986821932998</v>
      </c>
    </row>
    <row r="126" spans="1:7">
      <c r="A126" t="str">
        <f>Break!A126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0.21557870370370369</v>
      </c>
      <c r="E126" s="12">
        <f t="shared" si="19"/>
        <v>7.048611111111111E-2</v>
      </c>
      <c r="F126">
        <f t="shared" si="20"/>
        <v>83</v>
      </c>
      <c r="G126" s="13">
        <f t="shared" si="21"/>
        <v>0.56196890539434796</v>
      </c>
    </row>
    <row r="127" spans="1:7">
      <c r="A127" t="str">
        <f>Break!A127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0.15380787037037039</v>
      </c>
      <c r="E127" s="12">
        <f t="shared" si="19"/>
        <v>0.14153935185185185</v>
      </c>
      <c r="F127">
        <f t="shared" si="20"/>
        <v>84</v>
      </c>
      <c r="G127" s="13">
        <f t="shared" si="21"/>
        <v>0.40332201825791802</v>
      </c>
    </row>
    <row r="128" spans="1:7">
      <c r="A128" t="str">
        <f>Break!A128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>
        <f t="shared" si="19"/>
        <v>9.5694444444444457E-2</v>
      </c>
      <c r="F128">
        <f t="shared" si="20"/>
        <v>85</v>
      </c>
      <c r="G128" s="13">
        <f t="shared" si="21"/>
        <v>0.43796610169491501</v>
      </c>
    </row>
    <row r="129" spans="1:7">
      <c r="A129" t="str">
        <f>Break!A129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>
        <f t="shared" si="19"/>
        <v>5.5231481481481486E-2</v>
      </c>
      <c r="F129">
        <f t="shared" si="20"/>
        <v>86</v>
      </c>
      <c r="G129" s="13">
        <f t="shared" si="21"/>
        <v>0.55581995508931903</v>
      </c>
    </row>
    <row r="130" spans="1:7">
      <c r="A130" t="str">
        <f>Break!A130</f>
        <v>Del_Shyamal Malakar (1008640)</v>
      </c>
      <c r="B130" t="str">
        <f t="shared" si="16"/>
        <v>Shyamal Malakar</v>
      </c>
      <c r="C130" s="12">
        <f t="shared" ref="C130:C150" si="22">TIMEVALUE(VLOOKUP(A130,EData,2,0))</f>
        <v>0.34416666666666668</v>
      </c>
      <c r="D130" s="12">
        <f t="shared" ref="D130:D150" si="23">TIMEVALUE(VLOOKUP(A130,EData,3,0))</f>
        <v>0.12054398148148149</v>
      </c>
      <c r="E130" s="12">
        <f t="shared" ref="E130:E150" si="24">TIMEVALUE(VLOOKUP(A130,BData,9,0))</f>
        <v>0.19140046296296295</v>
      </c>
      <c r="F130">
        <f t="shared" ref="F130:F150" si="25">VLOOKUP(A130,PData,2,0)</f>
        <v>87</v>
      </c>
      <c r="G130" s="13">
        <f t="shared" ref="G130:G150" si="26">VLOOKUP(A130,EData,6,0)</f>
        <v>0.326035781544256</v>
      </c>
    </row>
    <row r="131" spans="1:7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>
        <f t="shared" si="24"/>
        <v>4.8506944444444443E-2</v>
      </c>
      <c r="F131">
        <f t="shared" si="25"/>
        <v>88</v>
      </c>
      <c r="G131" s="13">
        <f t="shared" si="26"/>
        <v>0.57404190086867701</v>
      </c>
    </row>
    <row r="132" spans="1:7">
      <c r="A132" t="str">
        <f>Break!A132</f>
        <v>Del_Sonaram Munda (1008642)</v>
      </c>
      <c r="B132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>
        <f t="shared" si="24"/>
        <v>8.1423611111111113E-2</v>
      </c>
      <c r="F132">
        <f t="shared" si="25"/>
        <v>89</v>
      </c>
      <c r="G132" s="13">
        <f t="shared" si="26"/>
        <v>0.45359037481363301</v>
      </c>
    </row>
    <row r="133" spans="1:7">
      <c r="A133" t="str">
        <f>Break!A133</f>
        <v>Del_Sudama Kumar (1008643)</v>
      </c>
      <c r="B133" t="str">
        <f t="shared" si="27"/>
        <v>Sudama Kumar</v>
      </c>
      <c r="C133" s="12">
        <f t="shared" si="22"/>
        <v>0.34012731481481479</v>
      </c>
      <c r="D133" s="12">
        <f t="shared" si="23"/>
        <v>0.11028935185185185</v>
      </c>
      <c r="E133" s="12">
        <f t="shared" si="24"/>
        <v>0.19189814814814818</v>
      </c>
      <c r="F133">
        <f t="shared" si="25"/>
        <v>90</v>
      </c>
      <c r="G133" s="13">
        <f t="shared" si="26"/>
        <v>0.29689998979140397</v>
      </c>
    </row>
    <row r="134" spans="1:7">
      <c r="A134" t="str">
        <f>Break!A134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0.19138888888888891</v>
      </c>
      <c r="E134" s="12">
        <f t="shared" si="24"/>
        <v>5.1666666666666666E-2</v>
      </c>
      <c r="F134">
        <f t="shared" si="25"/>
        <v>91</v>
      </c>
      <c r="G134" s="13">
        <f t="shared" si="26"/>
        <v>0.55729058227496697</v>
      </c>
    </row>
    <row r="135" spans="1:7">
      <c r="A135" t="str">
        <f>Break!A135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>
        <f t="shared" si="24"/>
        <v>0.1645486111111111</v>
      </c>
      <c r="F135">
        <f t="shared" si="25"/>
        <v>92</v>
      </c>
      <c r="G135" s="13">
        <f t="shared" si="26"/>
        <v>0.33279321519685601</v>
      </c>
    </row>
    <row r="136" spans="1:7">
      <c r="A136" t="str">
        <f>Break!A136</f>
        <v>Del_Sunil Kumar (1008646)</v>
      </c>
      <c r="B136" t="str">
        <f t="shared" si="27"/>
        <v>Sunil Kumar</v>
      </c>
      <c r="C136" s="12">
        <f t="shared" si="22"/>
        <v>0.33687500000000004</v>
      </c>
      <c r="D136" s="12">
        <f t="shared" si="23"/>
        <v>0.17017361111111109</v>
      </c>
      <c r="E136" s="12">
        <f t="shared" si="24"/>
        <v>9.5034722222222215E-2</v>
      </c>
      <c r="F136">
        <f t="shared" si="25"/>
        <v>93</v>
      </c>
      <c r="G136" s="13">
        <f t="shared" si="26"/>
        <v>0.472308115165258</v>
      </c>
    </row>
    <row r="137" spans="1:7">
      <c r="A137" t="str">
        <f>Break!A137</f>
        <v>Del_Sunita Chawla (1008647)</v>
      </c>
      <c r="B137" t="str">
        <f t="shared" si="27"/>
        <v>Sunita Chawla</v>
      </c>
      <c r="C137" s="12">
        <f t="shared" si="22"/>
        <v>0.33709490740740744</v>
      </c>
      <c r="D137" s="12">
        <f t="shared" si="23"/>
        <v>0.18885416666666666</v>
      </c>
      <c r="E137" s="12">
        <f t="shared" si="24"/>
        <v>8.7997685185185193E-2</v>
      </c>
      <c r="F137">
        <f t="shared" si="25"/>
        <v>94</v>
      </c>
      <c r="G137" s="13">
        <f t="shared" si="26"/>
        <v>0.51110729613733896</v>
      </c>
    </row>
    <row r="138" spans="1:7">
      <c r="A138" t="str">
        <f>Break!A138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>
        <f t="shared" si="24"/>
        <v>4.7395833333333331E-2</v>
      </c>
      <c r="F138">
        <f t="shared" si="25"/>
        <v>95</v>
      </c>
      <c r="G138" s="13">
        <f t="shared" si="26"/>
        <v>0.58886040078267299</v>
      </c>
    </row>
    <row r="139" spans="1:7">
      <c r="A139" t="str">
        <f>Break!A139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0.12112268518518519</v>
      </c>
      <c r="E139" s="12">
        <f t="shared" si="24"/>
        <v>0.1575462962962963</v>
      </c>
      <c r="F139">
        <f t="shared" si="25"/>
        <v>96</v>
      </c>
      <c r="G139" s="13">
        <f t="shared" si="26"/>
        <v>0.34289424860853401</v>
      </c>
    </row>
    <row r="140" spans="1:7">
      <c r="A140" t="str">
        <f>Break!A140</f>
        <v>Del_Surendranath Thakur (1008650)</v>
      </c>
      <c r="B140" t="str">
        <f t="shared" si="27"/>
        <v>Surendranath Thakur</v>
      </c>
      <c r="C140" s="12">
        <f t="shared" si="22"/>
        <v>0.35686342592592596</v>
      </c>
      <c r="D140" s="12">
        <f t="shared" si="23"/>
        <v>0.19224537037037037</v>
      </c>
      <c r="E140" s="12">
        <f t="shared" si="24"/>
        <v>9.5196759259259259E-2</v>
      </c>
      <c r="F140">
        <f t="shared" si="25"/>
        <v>97</v>
      </c>
      <c r="G140" s="13">
        <f t="shared" si="26"/>
        <v>0.497486459313074</v>
      </c>
    </row>
    <row r="141" spans="1:7">
      <c r="A141" t="str">
        <f>Break!A141</f>
        <v>Del_Sushma Khandelwal (1008651)</v>
      </c>
      <c r="B141" t="str">
        <f t="shared" si="27"/>
        <v>Sushma Khandelwal</v>
      </c>
      <c r="C141" s="12">
        <f t="shared" si="22"/>
        <v>0.34392361111111108</v>
      </c>
      <c r="D141" s="12">
        <f t="shared" si="23"/>
        <v>0.20146990740740742</v>
      </c>
      <c r="E141" s="12">
        <f t="shared" si="24"/>
        <v>4.8854166666666664E-2</v>
      </c>
      <c r="F141">
        <f t="shared" si="25"/>
        <v>98</v>
      </c>
      <c r="G141" s="13">
        <f t="shared" si="26"/>
        <v>0.52431431936732298</v>
      </c>
    </row>
    <row r="142" spans="1:7">
      <c r="A142" t="str">
        <f>Break!A142</f>
        <v>Del_Swarnlata Borse (1008652)</v>
      </c>
      <c r="B142" t="str">
        <f t="shared" si="27"/>
        <v>Swarnlata Borse</v>
      </c>
      <c r="C142" s="12">
        <f t="shared" si="22"/>
        <v>0.34658564814814818</v>
      </c>
      <c r="D142" s="12">
        <f t="shared" si="23"/>
        <v>0.12475694444444445</v>
      </c>
      <c r="E142" s="12">
        <f t="shared" si="24"/>
        <v>0.18931712962962963</v>
      </c>
      <c r="F142">
        <f t="shared" si="25"/>
        <v>99</v>
      </c>
      <c r="G142" s="13">
        <f t="shared" si="26"/>
        <v>0.31066956086157999</v>
      </c>
    </row>
    <row r="143" spans="1:7">
      <c r="A143" t="str">
        <f>Break!A143</f>
        <v>Del_Syed Naved (1008653)</v>
      </c>
      <c r="B143" t="str">
        <f t="shared" si="27"/>
        <v>Syed Naved</v>
      </c>
      <c r="C143" s="12">
        <f t="shared" si="22"/>
        <v>0.34281249999999996</v>
      </c>
      <c r="D143" s="12">
        <f t="shared" si="23"/>
        <v>0.22505787037037037</v>
      </c>
      <c r="E143" s="12">
        <f t="shared" si="24"/>
        <v>5.1898148148148145E-2</v>
      </c>
      <c r="F143">
        <f t="shared" si="25"/>
        <v>100</v>
      </c>
      <c r="G143" s="13">
        <f t="shared" si="26"/>
        <v>0.58462473412336702</v>
      </c>
    </row>
    <row r="144" spans="1:7">
      <c r="A144" t="str">
        <f>Break!A144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>
        <f t="shared" si="24"/>
        <v>0.21081018518518521</v>
      </c>
      <c r="F144">
        <f t="shared" si="25"/>
        <v>101</v>
      </c>
      <c r="G144" s="13">
        <f t="shared" si="26"/>
        <v>0.31685816164817698</v>
      </c>
    </row>
    <row r="145" spans="1:7">
      <c r="A145" t="str">
        <f>Break!A145</f>
        <v>Del_Syed Sohail (1008655)</v>
      </c>
      <c r="B145" t="str">
        <f t="shared" si="27"/>
        <v>Syed Sohail</v>
      </c>
      <c r="C145" s="12">
        <f t="shared" si="22"/>
        <v>0.34575231481481478</v>
      </c>
      <c r="D145" s="12">
        <f t="shared" si="23"/>
        <v>0.20268518518518519</v>
      </c>
      <c r="E145" s="12">
        <f t="shared" si="24"/>
        <v>5.004629629629629E-2</v>
      </c>
      <c r="F145">
        <f t="shared" si="25"/>
        <v>102</v>
      </c>
      <c r="G145" s="13">
        <f t="shared" si="26"/>
        <v>0.56375322197301903</v>
      </c>
    </row>
    <row r="146" spans="1:7">
      <c r="A146" t="str">
        <f>Break!A146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0.21916666666666665</v>
      </c>
      <c r="E146" s="12">
        <f t="shared" si="24"/>
        <v>3.8946759259259257E-2</v>
      </c>
      <c r="F146">
        <f t="shared" si="25"/>
        <v>103</v>
      </c>
      <c r="G146" s="13">
        <f t="shared" si="26"/>
        <v>0.54779147908918902</v>
      </c>
    </row>
    <row r="147" spans="1:7">
      <c r="A147" t="str">
        <f>Break!A147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>
        <f t="shared" si="24"/>
        <v>0.16840277777777779</v>
      </c>
      <c r="F147">
        <f t="shared" si="25"/>
        <v>104</v>
      </c>
      <c r="G147" s="13">
        <f t="shared" si="26"/>
        <v>0.37965983593576802</v>
      </c>
    </row>
    <row r="148" spans="1:7">
      <c r="A148" t="str">
        <f>Break!A148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0.21891203703703702</v>
      </c>
      <c r="E148" s="12">
        <f t="shared" si="24"/>
        <v>5.0127314814814812E-2</v>
      </c>
      <c r="F148">
        <f t="shared" si="25"/>
        <v>105</v>
      </c>
      <c r="G148" s="13">
        <f t="shared" si="26"/>
        <v>0.56529498922413801</v>
      </c>
    </row>
    <row r="149" spans="1:7">
      <c r="A149" t="str">
        <f>Break!A149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>
        <f t="shared" si="24"/>
        <v>1.045138888888889E-2</v>
      </c>
      <c r="F149">
        <f t="shared" si="25"/>
        <v>106</v>
      </c>
      <c r="G149" s="13">
        <f t="shared" si="26"/>
        <v>0.60261183662128404</v>
      </c>
    </row>
    <row r="150" spans="1:7">
      <c r="A150" t="str">
        <f>Break!A150</f>
        <v>Del_Tasneem Khan (1008660)</v>
      </c>
      <c r="B150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>
        <f t="shared" si="24"/>
        <v>9.5034722222222215E-2</v>
      </c>
      <c r="F150">
        <f t="shared" si="25"/>
        <v>107</v>
      </c>
      <c r="G150" s="13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4112-1EB9-4DE9-A633-D5FC7A2A9ECC}">
  <sheetPr codeName="Sheet6"/>
  <dimension ref="A1:G150"/>
  <sheetViews>
    <sheetView workbookViewId="0">
      <selection activeCell="F2" sqref="F2"/>
    </sheetView>
  </sheetViews>
  <sheetFormatPr defaultRowHeight="15"/>
  <cols>
    <col min="1" max="1" width="38.42578125" customWidth="1"/>
    <col min="2" max="2" width="22.5703125" customWidth="1"/>
    <col min="3" max="3" width="20.5703125" customWidth="1"/>
    <col min="4" max="4" width="20.42578125" customWidth="1"/>
    <col min="5" max="5" width="18.85546875" customWidth="1"/>
    <col min="6" max="6" width="16.85546875" customWidth="1"/>
    <col min="7" max="7" width="26.5703125" customWidth="1"/>
  </cols>
  <sheetData>
    <row r="1" spans="1:7" ht="14.25" customHeight="1">
      <c r="A1" s="19" t="str">
        <f>[1]Break!A1</f>
        <v>Employee</v>
      </c>
      <c r="B1" s="20" t="s">
        <v>852</v>
      </c>
      <c r="C1" s="21" t="s">
        <v>853</v>
      </c>
      <c r="D1" s="22" t="s">
        <v>448</v>
      </c>
      <c r="E1" s="22" t="s">
        <v>8</v>
      </c>
      <c r="F1" s="22" t="s">
        <v>449</v>
      </c>
      <c r="G1" s="22" t="s">
        <v>451</v>
      </c>
    </row>
    <row r="2" spans="1:7" ht="15.75">
      <c r="A2" s="23" t="str">
        <f>Break!A2</f>
        <v>Mum_Abdul Hamid (1008512)</v>
      </c>
      <c r="B2" s="24" t="s">
        <v>1013</v>
      </c>
      <c r="C2" s="27">
        <f t="shared" ref="C2:C33" si="0">TIMEVALUE(VLOOKUP(A2,EData,2,0))</f>
        <v>0.34424768518518517</v>
      </c>
      <c r="D2" s="27">
        <f t="shared" ref="D2:D33" si="1">TIMEVALUE(VLOOKUP(A2,EData,3,0))</f>
        <v>0.20693287037037036</v>
      </c>
      <c r="E2" s="27">
        <f t="shared" ref="E2:E33" si="2">TIMEVALUE(VLOOKUP(A2,BData,9,0))</f>
        <v>4.7708333333333332E-2</v>
      </c>
      <c r="F2" s="25">
        <f t="shared" ref="F2:F33" si="3">VLOOKUP(A2,PData,2,0)</f>
        <v>98</v>
      </c>
      <c r="G2" s="26">
        <f t="shared" ref="G2:G33" si="4">VLOOKUP(A2,EData,6,0)</f>
        <v>0.55697138822580095</v>
      </c>
    </row>
    <row r="3" spans="1:7" ht="15.75">
      <c r="A3" s="23" t="str">
        <f>Break!A3</f>
        <v>Mum_Afzal Husain (1008513)</v>
      </c>
      <c r="B3" s="24" t="s">
        <v>1014</v>
      </c>
      <c r="C3" s="27">
        <f t="shared" si="0"/>
        <v>0.34416666666666668</v>
      </c>
      <c r="D3" s="27">
        <f t="shared" si="1"/>
        <v>0.20733796296296295</v>
      </c>
      <c r="E3" s="27">
        <f t="shared" si="2"/>
        <v>4.8599537037037038E-2</v>
      </c>
      <c r="F3" s="25">
        <f t="shared" si="3"/>
        <v>23</v>
      </c>
      <c r="G3" s="26">
        <f t="shared" si="4"/>
        <v>0.58027306967984904</v>
      </c>
    </row>
    <row r="4" spans="1:7" ht="15.75">
      <c r="A4" s="23" t="str">
        <f>Break!A4</f>
        <v>Mum_Anamika Gupta (1008514)</v>
      </c>
      <c r="B4" s="24" t="s">
        <v>1015</v>
      </c>
      <c r="C4" s="27">
        <f t="shared" si="0"/>
        <v>0.34510416666666671</v>
      </c>
      <c r="D4" s="27">
        <f t="shared" si="1"/>
        <v>0.20109953703703706</v>
      </c>
      <c r="E4" s="27">
        <f t="shared" si="2"/>
        <v>5.1319444444444445E-2</v>
      </c>
      <c r="F4" s="25">
        <f t="shared" si="3"/>
        <v>28</v>
      </c>
      <c r="G4" s="26">
        <f t="shared" si="4"/>
        <v>0.51708756749505302</v>
      </c>
    </row>
    <row r="5" spans="1:7" ht="15.75">
      <c r="A5" s="23" t="str">
        <f>Break!A5</f>
        <v>Mum_Anikuttan (1008515)</v>
      </c>
      <c r="B5" s="24" t="s">
        <v>1016</v>
      </c>
      <c r="C5" s="27">
        <f t="shared" si="0"/>
        <v>0.34023148148148147</v>
      </c>
      <c r="D5" s="27">
        <f t="shared" si="1"/>
        <v>0.17884259259259261</v>
      </c>
      <c r="E5" s="27">
        <f t="shared" si="2"/>
        <v>9.6550925925925915E-2</v>
      </c>
      <c r="F5" s="25">
        <f t="shared" si="3"/>
        <v>29</v>
      </c>
      <c r="G5" s="26">
        <f t="shared" si="4"/>
        <v>0.47720778337188702</v>
      </c>
    </row>
    <row r="6" spans="1:7" ht="15.75">
      <c r="A6" s="23" t="str">
        <f>Break!A6</f>
        <v>Mum_Anil Kumar (1008516)</v>
      </c>
      <c r="B6" s="24" t="s">
        <v>1017</v>
      </c>
      <c r="C6" s="27">
        <f t="shared" si="0"/>
        <v>0.30603009259259256</v>
      </c>
      <c r="D6" s="27">
        <f t="shared" si="1"/>
        <v>0.13870370370370369</v>
      </c>
      <c r="E6" s="27">
        <f t="shared" si="2"/>
        <v>0.12844907407407408</v>
      </c>
      <c r="F6" s="25">
        <f t="shared" si="3"/>
        <v>93</v>
      </c>
      <c r="G6" s="26">
        <f t="shared" si="4"/>
        <v>0.43288831738587802</v>
      </c>
    </row>
    <row r="7" spans="1:7" ht="15.75">
      <c r="A7" s="23" t="str">
        <f>Break!A7</f>
        <v>Mum_Anita Dixit (1008517)</v>
      </c>
      <c r="B7" s="24" t="s">
        <v>1018</v>
      </c>
      <c r="C7" s="27">
        <f t="shared" si="0"/>
        <v>0.20843750000000003</v>
      </c>
      <c r="D7" s="27">
        <f t="shared" si="1"/>
        <v>0.15369212962962964</v>
      </c>
      <c r="E7" s="27">
        <f t="shared" si="2"/>
        <v>1.8831018518518518E-2</v>
      </c>
      <c r="F7" s="25">
        <f t="shared" si="3"/>
        <v>92</v>
      </c>
      <c r="G7" s="26">
        <f t="shared" si="4"/>
        <v>0.65495030262646503</v>
      </c>
    </row>
    <row r="8" spans="1:7" ht="15.75">
      <c r="A8" s="23" t="str">
        <f>Break!A8</f>
        <v>Mum_Anita Ghore (1008518)</v>
      </c>
      <c r="B8" s="24" t="s">
        <v>1019</v>
      </c>
      <c r="C8" s="27">
        <f t="shared" si="0"/>
        <v>0.34488425925925931</v>
      </c>
      <c r="D8" s="27">
        <f t="shared" si="1"/>
        <v>0.17553240740740741</v>
      </c>
      <c r="E8" s="27">
        <f t="shared" si="2"/>
        <v>0.11229166666666668</v>
      </c>
      <c r="F8" s="25">
        <f t="shared" si="3"/>
        <v>26</v>
      </c>
      <c r="G8" s="26">
        <f t="shared" si="4"/>
        <v>0.49476474931203401</v>
      </c>
    </row>
    <row r="9" spans="1:7" ht="15.75">
      <c r="A9" s="23" t="str">
        <f>Break!A9</f>
        <v>Mum_Anjali Deoram (1008519)</v>
      </c>
      <c r="B9" s="24" t="s">
        <v>1020</v>
      </c>
      <c r="C9" s="27">
        <f t="shared" si="0"/>
        <v>0.38646990740740739</v>
      </c>
      <c r="D9" s="27">
        <f t="shared" si="1"/>
        <v>0.24453703703703702</v>
      </c>
      <c r="E9" s="27">
        <f t="shared" si="2"/>
        <v>5.0810185185185187E-2</v>
      </c>
      <c r="F9" s="25">
        <f t="shared" si="3"/>
        <v>90</v>
      </c>
      <c r="G9" s="26">
        <f t="shared" si="4"/>
        <v>0.55128627474469205</v>
      </c>
    </row>
    <row r="10" spans="1:7" ht="15.75">
      <c r="A10" s="23" t="str">
        <f>Break!A10</f>
        <v>Mum_Anjali Sahay (1008520)</v>
      </c>
      <c r="B10" s="24" t="s">
        <v>1021</v>
      </c>
      <c r="C10" s="27">
        <f t="shared" si="0"/>
        <v>0.34256944444444448</v>
      </c>
      <c r="D10" s="27">
        <f t="shared" si="1"/>
        <v>0.20311342592592593</v>
      </c>
      <c r="E10" s="27">
        <f t="shared" si="2"/>
        <v>4.628472222222222E-2</v>
      </c>
      <c r="F10" s="25">
        <f t="shared" si="3"/>
        <v>89</v>
      </c>
      <c r="G10" s="26">
        <f t="shared" si="4"/>
        <v>0.55206432867085597</v>
      </c>
    </row>
    <row r="11" spans="1:7" ht="15.75">
      <c r="A11" s="23" t="str">
        <f>Break!A11</f>
        <v>Mum_Annu Latika (1008521)</v>
      </c>
      <c r="B11" s="24" t="s">
        <v>1022</v>
      </c>
      <c r="C11" s="27">
        <f t="shared" si="0"/>
        <v>0.34769675925925925</v>
      </c>
      <c r="D11" s="27">
        <f t="shared" si="1"/>
        <v>0.20702546296296295</v>
      </c>
      <c r="E11" s="27">
        <f t="shared" si="2"/>
        <v>4.8576388888888884E-2</v>
      </c>
      <c r="F11" s="25">
        <f t="shared" si="3"/>
        <v>54</v>
      </c>
      <c r="G11" s="26">
        <f t="shared" si="4"/>
        <v>0.56868945774108703</v>
      </c>
    </row>
    <row r="12" spans="1:7" ht="15.75">
      <c r="A12" s="23" t="str">
        <f>Break!A12</f>
        <v>Mum_Anoop Narayan (1008522)</v>
      </c>
      <c r="B12" s="24" t="s">
        <v>1023</v>
      </c>
      <c r="C12" s="27">
        <f t="shared" si="0"/>
        <v>0.34068287037037037</v>
      </c>
      <c r="D12" s="27">
        <f t="shared" si="1"/>
        <v>0.20518518518518516</v>
      </c>
      <c r="E12" s="27">
        <f t="shared" si="2"/>
        <v>4.809027777777778E-2</v>
      </c>
      <c r="F12" s="25">
        <f t="shared" si="3"/>
        <v>87</v>
      </c>
      <c r="G12" s="26">
        <f t="shared" si="4"/>
        <v>0.56035332087650802</v>
      </c>
    </row>
    <row r="13" spans="1:7" ht="15.75">
      <c r="A13" s="23" t="str">
        <f>Break!A13</f>
        <v>Mum_Anoop Raj (1008523)</v>
      </c>
      <c r="B13" s="24" t="s">
        <v>1024</v>
      </c>
      <c r="C13" s="27">
        <f t="shared" si="0"/>
        <v>0.33622685185185186</v>
      </c>
      <c r="D13" s="27">
        <f t="shared" si="1"/>
        <v>0.15812499999999999</v>
      </c>
      <c r="E13" s="27">
        <f t="shared" si="2"/>
        <v>0.12590277777777778</v>
      </c>
      <c r="F13" s="25">
        <f t="shared" si="3"/>
        <v>65</v>
      </c>
      <c r="G13" s="26">
        <f t="shared" si="4"/>
        <v>0.41552495697073999</v>
      </c>
    </row>
    <row r="14" spans="1:7" ht="15.75">
      <c r="A14" s="23" t="str">
        <f>Break!A14</f>
        <v>Mum_Anubhuti Gupta (1008524)</v>
      </c>
      <c r="B14" s="24" t="s">
        <v>1025</v>
      </c>
      <c r="C14" s="27">
        <f t="shared" si="0"/>
        <v>0.34349537037037042</v>
      </c>
      <c r="D14" s="27">
        <f t="shared" si="1"/>
        <v>0.19699074074074074</v>
      </c>
      <c r="E14" s="27">
        <f t="shared" si="2"/>
        <v>8.7974537037037046E-2</v>
      </c>
      <c r="F14" s="25">
        <f t="shared" si="3"/>
        <v>85</v>
      </c>
      <c r="G14" s="26">
        <f t="shared" si="4"/>
        <v>0.50026955994339195</v>
      </c>
    </row>
    <row r="15" spans="1:7" ht="15.75">
      <c r="A15" s="23" t="str">
        <f>Break!A15</f>
        <v>Mum_Arun Kumar (1008525)</v>
      </c>
      <c r="B15" s="24" t="s">
        <v>1026</v>
      </c>
      <c r="C15" s="27">
        <f t="shared" si="0"/>
        <v>0.33321759259259259</v>
      </c>
      <c r="D15" s="27">
        <f t="shared" si="1"/>
        <v>0.19475694444444444</v>
      </c>
      <c r="E15" s="27">
        <f t="shared" si="2"/>
        <v>4.9004629629629627E-2</v>
      </c>
      <c r="F15" s="25">
        <f t="shared" si="3"/>
        <v>65</v>
      </c>
      <c r="G15" s="26">
        <f t="shared" si="4"/>
        <v>0.51396318166029897</v>
      </c>
    </row>
    <row r="16" spans="1:7" ht="15.75">
      <c r="A16" s="23" t="str">
        <f>Break!A16</f>
        <v>Mum_Ashish Kumar (1008526)</v>
      </c>
      <c r="B16" s="24" t="s">
        <v>1027</v>
      </c>
      <c r="C16" s="27">
        <f t="shared" si="0"/>
        <v>0.34512731481481485</v>
      </c>
      <c r="D16" s="27">
        <f t="shared" si="1"/>
        <v>0.2066550925925926</v>
      </c>
      <c r="E16" s="27">
        <f t="shared" si="2"/>
        <v>5.3460648148148153E-2</v>
      </c>
      <c r="F16" s="25">
        <f t="shared" si="3"/>
        <v>83</v>
      </c>
      <c r="G16" s="26">
        <f t="shared" si="4"/>
        <v>0.510580502364264</v>
      </c>
    </row>
    <row r="17" spans="1:7" ht="15.75">
      <c r="A17" s="23" t="str">
        <f>Break!A17</f>
        <v>Mum_Ashok Kumar (1008527)</v>
      </c>
      <c r="B17" s="24" t="s">
        <v>1004</v>
      </c>
      <c r="C17" s="27">
        <f t="shared" si="0"/>
        <v>0.34531249999999997</v>
      </c>
      <c r="D17" s="27">
        <f t="shared" si="1"/>
        <v>0.17390046296296294</v>
      </c>
      <c r="E17" s="27">
        <f t="shared" si="2"/>
        <v>0.10023148148148148</v>
      </c>
      <c r="F17" s="25">
        <f t="shared" si="3"/>
        <v>82</v>
      </c>
      <c r="G17" s="26">
        <f t="shared" si="4"/>
        <v>0.48292274174627098</v>
      </c>
    </row>
    <row r="18" spans="1:7" ht="15.75">
      <c r="A18" s="23" t="str">
        <f>Break!A18</f>
        <v>Hyd_Ashok Kumar (1008528)</v>
      </c>
      <c r="B18" s="24" t="s">
        <v>1004</v>
      </c>
      <c r="C18" s="27">
        <f t="shared" si="0"/>
        <v>0.32848379629629632</v>
      </c>
      <c r="D18" s="27">
        <f t="shared" si="1"/>
        <v>0.1973611111111111</v>
      </c>
      <c r="E18" s="27">
        <f t="shared" si="2"/>
        <v>3.9224537037037037E-2</v>
      </c>
      <c r="F18" s="25">
        <f t="shared" si="3"/>
        <v>81</v>
      </c>
      <c r="G18" s="26">
        <f t="shared" si="4"/>
        <v>0.57362319861879396</v>
      </c>
    </row>
    <row r="19" spans="1:7" ht="15.75">
      <c r="A19" s="23" t="str">
        <f>Break!A19</f>
        <v>Hyd_Ashok Kumar (1008529)</v>
      </c>
      <c r="B19" s="24" t="s">
        <v>1004</v>
      </c>
      <c r="C19" s="27">
        <f t="shared" si="0"/>
        <v>0.34494212962962961</v>
      </c>
      <c r="D19" s="27">
        <f t="shared" si="1"/>
        <v>0.20702546296296295</v>
      </c>
      <c r="E19" s="27">
        <f t="shared" si="2"/>
        <v>4.8692129629629627E-2</v>
      </c>
      <c r="F19" s="25">
        <f t="shared" si="3"/>
        <v>80</v>
      </c>
      <c r="G19" s="26">
        <f t="shared" si="4"/>
        <v>0.56430560681810604</v>
      </c>
    </row>
    <row r="20" spans="1:7" ht="15.75">
      <c r="A20" s="23" t="str">
        <f>Break!A20</f>
        <v>Hyd_Ashok Kumar (1008530)</v>
      </c>
      <c r="B20" s="24" t="s">
        <v>1004</v>
      </c>
      <c r="C20" s="27">
        <f t="shared" si="0"/>
        <v>0.34810185185185188</v>
      </c>
      <c r="D20" s="27">
        <f t="shared" si="1"/>
        <v>0.18267361111111111</v>
      </c>
      <c r="E20" s="27">
        <f t="shared" si="2"/>
        <v>0.11122685185185184</v>
      </c>
      <c r="F20" s="25">
        <f t="shared" si="3"/>
        <v>79</v>
      </c>
      <c r="G20" s="26">
        <f t="shared" si="4"/>
        <v>0.46974331693044302</v>
      </c>
    </row>
    <row r="21" spans="1:7" ht="15.75">
      <c r="A21" s="23" t="str">
        <f>Break!A21</f>
        <v>Hyd_Ashok Mahto (1008531)</v>
      </c>
      <c r="B21" s="24" t="s">
        <v>1028</v>
      </c>
      <c r="C21" s="27">
        <f t="shared" si="0"/>
        <v>0.34574074074074074</v>
      </c>
      <c r="D21" s="27">
        <f t="shared" si="1"/>
        <v>0.20710648148148147</v>
      </c>
      <c r="E21" s="27">
        <f t="shared" si="2"/>
        <v>5.1736111111111115E-2</v>
      </c>
      <c r="F21" s="25">
        <f t="shared" si="3"/>
        <v>78</v>
      </c>
      <c r="G21" s="26">
        <f t="shared" si="4"/>
        <v>0.57495313336904097</v>
      </c>
    </row>
    <row r="22" spans="1:7" ht="15.75">
      <c r="A22" s="23" t="str">
        <f>Break!A22</f>
        <v>Hyd_Atul Kumar (1008532)</v>
      </c>
      <c r="B22" s="24" t="s">
        <v>1029</v>
      </c>
      <c r="C22" s="27">
        <f t="shared" si="0"/>
        <v>0.3428356481481481</v>
      </c>
      <c r="D22" s="27">
        <f t="shared" si="1"/>
        <v>0.20393518518518516</v>
      </c>
      <c r="E22" s="27">
        <f t="shared" si="2"/>
        <v>4.6516203703703705E-2</v>
      </c>
      <c r="F22" s="25">
        <f t="shared" si="3"/>
        <v>77</v>
      </c>
      <c r="G22" s="26">
        <f t="shared" si="4"/>
        <v>0.57945376590932096</v>
      </c>
    </row>
    <row r="23" spans="1:7" ht="15.75">
      <c r="A23" s="23" t="str">
        <f>Break!A23</f>
        <v>Hyd_Azam (1008533)</v>
      </c>
      <c r="B23" s="24" t="s">
        <v>1030</v>
      </c>
      <c r="C23" s="27">
        <f t="shared" si="0"/>
        <v>0.34553240740740737</v>
      </c>
      <c r="D23" s="27">
        <f t="shared" si="1"/>
        <v>0.20821759259259257</v>
      </c>
      <c r="E23" s="27">
        <f t="shared" si="2"/>
        <v>4.8460648148148149E-2</v>
      </c>
      <c r="F23" s="25">
        <f t="shared" si="3"/>
        <v>76</v>
      </c>
      <c r="G23" s="26">
        <f t="shared" si="4"/>
        <v>0.588296375695049</v>
      </c>
    </row>
    <row r="24" spans="1:7" ht="15.75">
      <c r="A24" s="23" t="str">
        <f>Break!A24</f>
        <v>Hyd_Bhagwat Singh (1008534)</v>
      </c>
      <c r="B24" s="24" t="s">
        <v>1031</v>
      </c>
      <c r="C24" s="27">
        <f t="shared" si="0"/>
        <v>0.32064814814814818</v>
      </c>
      <c r="D24" s="27">
        <f t="shared" si="1"/>
        <v>0.17288194444444446</v>
      </c>
      <c r="E24" s="27">
        <f t="shared" si="2"/>
        <v>9.0486111111111114E-2</v>
      </c>
      <c r="F24" s="25">
        <f t="shared" si="3"/>
        <v>75</v>
      </c>
      <c r="G24" s="26">
        <f t="shared" si="4"/>
        <v>0.46267686976609901</v>
      </c>
    </row>
    <row r="25" spans="1:7" ht="15.75">
      <c r="A25" s="23" t="str">
        <f>Break!A25</f>
        <v>Hyd_Bindu Nair (1008535)</v>
      </c>
      <c r="B25" s="24" t="s">
        <v>1032</v>
      </c>
      <c r="C25" s="27">
        <f t="shared" si="0"/>
        <v>0.34032407407407406</v>
      </c>
      <c r="D25" s="27">
        <f t="shared" si="1"/>
        <v>0.17644675925925926</v>
      </c>
      <c r="E25" s="27">
        <f t="shared" si="2"/>
        <v>9.116898148148149E-2</v>
      </c>
      <c r="F25" s="25">
        <f t="shared" si="3"/>
        <v>74</v>
      </c>
      <c r="G25" s="26">
        <f t="shared" si="4"/>
        <v>0.478030199972793</v>
      </c>
    </row>
    <row r="26" spans="1:7" ht="15.75">
      <c r="A26" s="23" t="str">
        <f>Break!A26</f>
        <v>Hyd_Daleep Singh (1008536)</v>
      </c>
      <c r="B26" s="24" t="s">
        <v>1033</v>
      </c>
      <c r="C26" s="27">
        <f t="shared" si="0"/>
        <v>0.34328703703703706</v>
      </c>
      <c r="D26" s="27">
        <f t="shared" si="1"/>
        <v>0.22703703703703704</v>
      </c>
      <c r="E26" s="27">
        <f t="shared" si="2"/>
        <v>5.0625000000000003E-2</v>
      </c>
      <c r="F26" s="25">
        <f t="shared" si="3"/>
        <v>73</v>
      </c>
      <c r="G26" s="26">
        <f t="shared" si="4"/>
        <v>0.59983142279163904</v>
      </c>
    </row>
    <row r="27" spans="1:7" ht="15.75">
      <c r="A27" s="23" t="str">
        <f>Break!A27</f>
        <v>Hyd_Deepak Kumar (1008537)</v>
      </c>
      <c r="B27" s="24" t="s">
        <v>1034</v>
      </c>
      <c r="C27" s="27">
        <f t="shared" si="0"/>
        <v>0.31663194444444448</v>
      </c>
      <c r="D27" s="27">
        <f t="shared" si="1"/>
        <v>0.21199074074074076</v>
      </c>
      <c r="E27" s="27">
        <f t="shared" si="2"/>
        <v>2.1180555555555553E-2</v>
      </c>
      <c r="F27" s="25">
        <f t="shared" si="3"/>
        <v>72</v>
      </c>
      <c r="G27" s="26">
        <f t="shared" si="4"/>
        <v>0.65029060203969702</v>
      </c>
    </row>
    <row r="28" spans="1:7" ht="15.75">
      <c r="A28" s="23" t="str">
        <f>Break!A28</f>
        <v>Hyd_Deepika Nigam (1008538)</v>
      </c>
      <c r="B28" s="24" t="s">
        <v>1035</v>
      </c>
      <c r="C28" s="27">
        <f t="shared" si="0"/>
        <v>0.34512731481481485</v>
      </c>
      <c r="D28" s="27">
        <f t="shared" si="1"/>
        <v>0.20607638888888888</v>
      </c>
      <c r="E28" s="27">
        <f t="shared" si="2"/>
        <v>4.9768518518518517E-2</v>
      </c>
      <c r="F28" s="25">
        <f t="shared" si="3"/>
        <v>71</v>
      </c>
      <c r="G28" s="26">
        <f t="shared" si="4"/>
        <v>0.55001844461584903</v>
      </c>
    </row>
    <row r="29" spans="1:7" ht="15.75">
      <c r="A29" s="23" t="str">
        <f>Break!A29</f>
        <v>Hyd_Dinesh Kumar (1008539)</v>
      </c>
      <c r="B29" s="24" t="s">
        <v>1036</v>
      </c>
      <c r="C29" s="27">
        <f t="shared" si="0"/>
        <v>0.34297453703703701</v>
      </c>
      <c r="D29" s="27">
        <f t="shared" si="1"/>
        <v>0.21273148148148147</v>
      </c>
      <c r="E29" s="27">
        <f t="shared" si="2"/>
        <v>4.8645833333333333E-2</v>
      </c>
      <c r="F29" s="25">
        <f t="shared" si="3"/>
        <v>70</v>
      </c>
      <c r="G29" s="26">
        <f t="shared" si="4"/>
        <v>0.51334660682347399</v>
      </c>
    </row>
    <row r="30" spans="1:7" ht="15.75">
      <c r="A30" s="23" t="str">
        <f>Break!A30</f>
        <v>Hyd_Hari Kumar (1008540)</v>
      </c>
      <c r="B30" s="24" t="s">
        <v>1037</v>
      </c>
      <c r="C30" s="27">
        <f t="shared" si="0"/>
        <v>0.34387731481481482</v>
      </c>
      <c r="D30" s="27">
        <f t="shared" si="1"/>
        <v>0.17480324074074075</v>
      </c>
      <c r="E30" s="27">
        <f t="shared" si="2"/>
        <v>0.11449074074074074</v>
      </c>
      <c r="F30" s="25">
        <f t="shared" si="3"/>
        <v>69</v>
      </c>
      <c r="G30" s="26">
        <f t="shared" si="4"/>
        <v>0.43603379219817601</v>
      </c>
    </row>
    <row r="31" spans="1:7" ht="15.75">
      <c r="A31" s="23" t="str">
        <f>Break!A31</f>
        <v>Hyd_Heeramani Choudhary (1008541)</v>
      </c>
      <c r="B31" s="24" t="s">
        <v>1038</v>
      </c>
      <c r="C31" s="27">
        <f t="shared" si="0"/>
        <v>0.31069444444444444</v>
      </c>
      <c r="D31" s="27">
        <f t="shared" si="1"/>
        <v>0.1912962962962963</v>
      </c>
      <c r="E31" s="27">
        <f t="shared" si="2"/>
        <v>5.5787037037037031E-2</v>
      </c>
      <c r="F31" s="25">
        <f t="shared" si="3"/>
        <v>68</v>
      </c>
      <c r="G31" s="26">
        <f t="shared" si="4"/>
        <v>0.52954105200417201</v>
      </c>
    </row>
    <row r="32" spans="1:7" ht="15.75">
      <c r="A32" s="23" t="str">
        <f>Break!A32</f>
        <v>Hyd_Indra Pal (1008542)</v>
      </c>
      <c r="B32" s="24" t="s">
        <v>1039</v>
      </c>
      <c r="C32" s="27">
        <f t="shared" si="0"/>
        <v>0.33329861111111109</v>
      </c>
      <c r="D32" s="27">
        <f t="shared" si="1"/>
        <v>0.21824074074074074</v>
      </c>
      <c r="E32" s="27">
        <f t="shared" si="2"/>
        <v>4.809027777777778E-2</v>
      </c>
      <c r="F32" s="25">
        <f t="shared" si="3"/>
        <v>67</v>
      </c>
      <c r="G32" s="26">
        <f t="shared" si="4"/>
        <v>0.56446852102649603</v>
      </c>
    </row>
    <row r="33" spans="1:7" ht="15.75">
      <c r="A33" s="23" t="str">
        <f>Break!A33</f>
        <v>Hyd_Indra Singh (1008543)</v>
      </c>
      <c r="B33" s="24" t="s">
        <v>1040</v>
      </c>
      <c r="C33" s="27">
        <f t="shared" si="0"/>
        <v>0.34564814814814815</v>
      </c>
      <c r="D33" s="27">
        <f t="shared" si="1"/>
        <v>0.21184027777777778</v>
      </c>
      <c r="E33" s="27">
        <f t="shared" si="2"/>
        <v>8.9745370370370378E-2</v>
      </c>
      <c r="F33" s="25">
        <f t="shared" si="3"/>
        <v>66</v>
      </c>
      <c r="G33" s="26">
        <f t="shared" si="4"/>
        <v>0.49789043664612898</v>
      </c>
    </row>
    <row r="34" spans="1:7" ht="15.75">
      <c r="A34" s="23" t="str">
        <f>Break!A34</f>
        <v>Hyd_Jagdish Chandra (1008544)</v>
      </c>
      <c r="B34" s="24" t="s">
        <v>1041</v>
      </c>
      <c r="C34" s="27">
        <f t="shared" ref="C34:C65" si="5">TIMEVALUE(VLOOKUP(A34,EData,2,0))</f>
        <v>0.34664351851851855</v>
      </c>
      <c r="D34" s="27">
        <f t="shared" ref="D34:D65" si="6">TIMEVALUE(VLOOKUP(A34,EData,3,0))</f>
        <v>0.20781249999999998</v>
      </c>
      <c r="E34" s="27">
        <f t="shared" ref="E34:E65" si="7">TIMEVALUE(VLOOKUP(A34,BData,9,0))</f>
        <v>4.7951388888888891E-2</v>
      </c>
      <c r="F34" s="25">
        <f t="shared" ref="F34:F65" si="8">VLOOKUP(A34,PData,2,0)</f>
        <v>65</v>
      </c>
      <c r="G34" s="26">
        <f t="shared" ref="G34:G65" si="9">VLOOKUP(A34,EData,6,0)</f>
        <v>0.56270450751252099</v>
      </c>
    </row>
    <row r="35" spans="1:7" ht="15.75">
      <c r="A35" s="23" t="str">
        <f>Break!A35</f>
        <v>Hyd_Jairaj Vatham (1008545)</v>
      </c>
      <c r="B35" s="24" t="s">
        <v>1042</v>
      </c>
      <c r="C35" s="27">
        <f t="shared" si="5"/>
        <v>0.34471064814814811</v>
      </c>
      <c r="D35" s="27">
        <f t="shared" si="6"/>
        <v>0.20981481481481482</v>
      </c>
      <c r="E35" s="27">
        <f t="shared" si="7"/>
        <v>4.8564814814814818E-2</v>
      </c>
      <c r="F35" s="25">
        <f t="shared" si="8"/>
        <v>64</v>
      </c>
      <c r="G35" s="26">
        <f t="shared" si="9"/>
        <v>0.57680556021891705</v>
      </c>
    </row>
    <row r="36" spans="1:7" ht="15.75">
      <c r="A36" s="23" t="str">
        <f>Break!A36</f>
        <v>Hyd_Janardan Mishra (1008546)</v>
      </c>
      <c r="B36" s="24" t="s">
        <v>1043</v>
      </c>
      <c r="C36" s="27">
        <f t="shared" si="5"/>
        <v>0.31923611111111111</v>
      </c>
      <c r="D36" s="27">
        <f t="shared" si="6"/>
        <v>0.18953703703703703</v>
      </c>
      <c r="E36" s="27">
        <f t="shared" si="7"/>
        <v>6.1215277777777778E-2</v>
      </c>
      <c r="F36" s="25">
        <f t="shared" si="8"/>
        <v>63</v>
      </c>
      <c r="G36" s="26">
        <f t="shared" si="9"/>
        <v>0.55728373576970502</v>
      </c>
    </row>
    <row r="37" spans="1:7" ht="15.75">
      <c r="A37" s="23" t="str">
        <f>Break!A37</f>
        <v>Hyd_Jitendra Kumar (1008547)</v>
      </c>
      <c r="B37" s="24" t="s">
        <v>1044</v>
      </c>
      <c r="C37" s="27">
        <f t="shared" si="5"/>
        <v>0.34128472222222223</v>
      </c>
      <c r="D37" s="27">
        <f t="shared" si="6"/>
        <v>0.17200231481481479</v>
      </c>
      <c r="E37" s="27">
        <f t="shared" si="7"/>
        <v>0.10777777777777779</v>
      </c>
      <c r="F37" s="25">
        <f t="shared" si="8"/>
        <v>62</v>
      </c>
      <c r="G37" s="26">
        <f t="shared" si="9"/>
        <v>0.47590463594126198</v>
      </c>
    </row>
    <row r="38" spans="1:7" ht="15.75">
      <c r="A38" s="23" t="str">
        <f>Break!A38</f>
        <v>Hyd_John D'Costa (1008548)</v>
      </c>
      <c r="B38" s="24" t="s">
        <v>1045</v>
      </c>
      <c r="C38" s="27">
        <f t="shared" si="5"/>
        <v>0.34012731481481479</v>
      </c>
      <c r="D38" s="27">
        <f t="shared" si="6"/>
        <v>0.20243055555555556</v>
      </c>
      <c r="E38" s="27">
        <f t="shared" si="7"/>
        <v>4.8333333333333332E-2</v>
      </c>
      <c r="F38" s="25">
        <f t="shared" si="8"/>
        <v>61</v>
      </c>
      <c r="G38" s="26">
        <f t="shared" si="9"/>
        <v>0.55636846224520997</v>
      </c>
    </row>
    <row r="39" spans="1:7" ht="15.75">
      <c r="A39" s="23" t="str">
        <f>Break!A39</f>
        <v>Hyd_Julie S (1008549)</v>
      </c>
      <c r="B39" s="24" t="s">
        <v>1046</v>
      </c>
      <c r="C39" s="27">
        <f t="shared" si="5"/>
        <v>0.3442824074074074</v>
      </c>
      <c r="D39" s="27">
        <f t="shared" si="6"/>
        <v>0.20569444444444443</v>
      </c>
      <c r="E39" s="27">
        <f t="shared" si="7"/>
        <v>4.912037037037037E-2</v>
      </c>
      <c r="F39" s="25">
        <f t="shared" si="8"/>
        <v>60</v>
      </c>
      <c r="G39" s="26">
        <f t="shared" si="9"/>
        <v>0.527970147246689</v>
      </c>
    </row>
    <row r="40" spans="1:7" ht="15.75">
      <c r="A40" s="23" t="str">
        <f>Break!A40</f>
        <v>Hyd_Jyoti Tulsani (1008550)</v>
      </c>
      <c r="B40" s="24" t="s">
        <v>1047</v>
      </c>
      <c r="C40" s="27">
        <f t="shared" si="5"/>
        <v>0.3439699074074074</v>
      </c>
      <c r="D40" s="27">
        <f t="shared" si="6"/>
        <v>0.20620370370370369</v>
      </c>
      <c r="E40" s="27">
        <f t="shared" si="7"/>
        <v>4.8923611111111105E-2</v>
      </c>
      <c r="F40" s="25">
        <f t="shared" si="8"/>
        <v>59</v>
      </c>
      <c r="G40" s="26">
        <f t="shared" si="9"/>
        <v>0.565025741108382</v>
      </c>
    </row>
    <row r="41" spans="1:7" ht="15.75">
      <c r="A41" s="23" t="str">
        <f>Break!A41</f>
        <v>Hyd_Kahkasha Parveen (1008551)</v>
      </c>
      <c r="B41" s="24" t="s">
        <v>1048</v>
      </c>
      <c r="C41" s="27">
        <f t="shared" si="5"/>
        <v>0.34541666666666665</v>
      </c>
      <c r="D41" s="27">
        <f t="shared" si="6"/>
        <v>0.22590277777777779</v>
      </c>
      <c r="E41" s="27">
        <f t="shared" si="7"/>
        <v>4.8749999999999995E-2</v>
      </c>
      <c r="F41" s="25">
        <f t="shared" si="8"/>
        <v>58</v>
      </c>
      <c r="G41" s="26">
        <f t="shared" si="9"/>
        <v>0.48579278917035301</v>
      </c>
    </row>
    <row r="42" spans="1:7" ht="15.75">
      <c r="A42" s="23" t="str">
        <f>Break!A42</f>
        <v>Hyd_Kailash Nath (1008552)</v>
      </c>
      <c r="B42" s="24" t="s">
        <v>1049</v>
      </c>
      <c r="C42" s="27">
        <f t="shared" si="5"/>
        <v>0.34445601851851854</v>
      </c>
      <c r="D42" s="27">
        <f t="shared" si="6"/>
        <v>0.20725694444444445</v>
      </c>
      <c r="E42" s="27">
        <f t="shared" si="7"/>
        <v>4.6990740740740743E-2</v>
      </c>
      <c r="F42" s="25">
        <f t="shared" si="8"/>
        <v>57</v>
      </c>
      <c r="G42" s="26">
        <f t="shared" si="9"/>
        <v>0.572258996673499</v>
      </c>
    </row>
    <row r="43" spans="1:7" ht="15.75">
      <c r="A43" s="23" t="str">
        <f>Break!A43</f>
        <v>Hyd_Kalpana Agrawal (1008553)</v>
      </c>
      <c r="B43" s="24" t="s">
        <v>1050</v>
      </c>
      <c r="C43" s="27">
        <f t="shared" si="5"/>
        <v>0.33342592592592596</v>
      </c>
      <c r="D43" s="27">
        <f t="shared" si="6"/>
        <v>0.16271990740740741</v>
      </c>
      <c r="E43" s="27">
        <f t="shared" si="7"/>
        <v>0.10062500000000001</v>
      </c>
      <c r="F43" s="25">
        <f t="shared" si="8"/>
        <v>56</v>
      </c>
      <c r="G43" s="26">
        <f t="shared" si="9"/>
        <v>0.46542627048042201</v>
      </c>
    </row>
    <row r="44" spans="1:7" ht="15.75">
      <c r="A44" s="23" t="str">
        <f>Break!A44</f>
        <v>Hyd_Kamini Kumar (1008554)</v>
      </c>
      <c r="B44" s="24" t="s">
        <v>1051</v>
      </c>
      <c r="C44" s="27">
        <f t="shared" si="5"/>
        <v>0.2094560185185185</v>
      </c>
      <c r="D44" s="27">
        <f t="shared" si="6"/>
        <v>0.13993055555555556</v>
      </c>
      <c r="E44" s="27">
        <f t="shared" si="7"/>
        <v>1.0416666666666666E-2</v>
      </c>
      <c r="F44" s="25">
        <f t="shared" si="8"/>
        <v>55</v>
      </c>
      <c r="G44" s="26">
        <f t="shared" si="9"/>
        <v>0.64380836602751801</v>
      </c>
    </row>
    <row r="45" spans="1:7" ht="15.75">
      <c r="A45" s="23" t="str">
        <f>Break!A45</f>
        <v>Hyd_Kamini Tiwari (1008555)</v>
      </c>
      <c r="B45" s="24" t="s">
        <v>1052</v>
      </c>
      <c r="C45" s="27">
        <f t="shared" si="5"/>
        <v>0.35192129629629632</v>
      </c>
      <c r="D45" s="27">
        <f t="shared" si="6"/>
        <v>0.22140046296296298</v>
      </c>
      <c r="E45" s="27">
        <f t="shared" si="7"/>
        <v>4.8437500000000001E-2</v>
      </c>
      <c r="F45" s="25">
        <f t="shared" si="8"/>
        <v>54</v>
      </c>
      <c r="G45" s="26">
        <f t="shared" si="9"/>
        <v>0.57347234098533195</v>
      </c>
    </row>
    <row r="46" spans="1:7" ht="15.75">
      <c r="A46" s="23" t="str">
        <f>Break!A46</f>
        <v>Hyd_Kavita Sharma (1008556)</v>
      </c>
      <c r="B46" s="24" t="s">
        <v>1053</v>
      </c>
      <c r="C46" s="27">
        <f t="shared" si="5"/>
        <v>0.32876157407407408</v>
      </c>
      <c r="D46" s="27">
        <f t="shared" si="6"/>
        <v>0.22660879629629629</v>
      </c>
      <c r="E46" s="27">
        <f t="shared" si="7"/>
        <v>3.9108796296296301E-2</v>
      </c>
      <c r="F46" s="25">
        <f t="shared" si="8"/>
        <v>53</v>
      </c>
      <c r="G46" s="26">
        <f t="shared" si="9"/>
        <v>0.64717479317021698</v>
      </c>
    </row>
    <row r="47" spans="1:7" ht="15.75">
      <c r="A47" s="23" t="str">
        <f>Break!A47</f>
        <v>Hyd_Kiran Khubchandani (1008557)</v>
      </c>
      <c r="B47" s="24" t="s">
        <v>1054</v>
      </c>
      <c r="C47" s="27">
        <f t="shared" si="5"/>
        <v>0.33435185185185184</v>
      </c>
      <c r="D47" s="27">
        <f t="shared" si="6"/>
        <v>0.17586805555555554</v>
      </c>
      <c r="E47" s="27">
        <f t="shared" si="7"/>
        <v>9.0555555555555556E-2</v>
      </c>
      <c r="F47" s="25">
        <f t="shared" si="8"/>
        <v>52</v>
      </c>
      <c r="G47" s="26">
        <f t="shared" si="9"/>
        <v>0.50443090556632497</v>
      </c>
    </row>
    <row r="48" spans="1:7" ht="15.75">
      <c r="A48" s="23" t="str">
        <f>Break!A48</f>
        <v>Hyd_Kisun Sah (1008558)</v>
      </c>
      <c r="B48" s="24" t="s">
        <v>1055</v>
      </c>
      <c r="C48" s="27">
        <f t="shared" si="5"/>
        <v>0.34831018518518514</v>
      </c>
      <c r="D48" s="27">
        <f t="shared" si="6"/>
        <v>0.21436342592592594</v>
      </c>
      <c r="E48" s="27">
        <f t="shared" si="7"/>
        <v>4.8240740740740744E-2</v>
      </c>
      <c r="F48" s="25">
        <f t="shared" si="8"/>
        <v>51</v>
      </c>
      <c r="G48" s="26">
        <f t="shared" si="9"/>
        <v>0.55280122283511701</v>
      </c>
    </row>
    <row r="49" spans="1:7" ht="15.75">
      <c r="A49" s="23" t="str">
        <f>Break!A49</f>
        <v>Hyd_Krishana Kumar (1008559)</v>
      </c>
      <c r="B49" s="24" t="s">
        <v>1056</v>
      </c>
      <c r="C49" s="27">
        <f t="shared" si="5"/>
        <v>0.34407407407407403</v>
      </c>
      <c r="D49" s="27">
        <f t="shared" si="6"/>
        <v>0.19798611111111111</v>
      </c>
      <c r="E49" s="27">
        <f t="shared" si="7"/>
        <v>4.8437500000000001E-2</v>
      </c>
      <c r="F49" s="25">
        <f t="shared" si="8"/>
        <v>50</v>
      </c>
      <c r="G49" s="26">
        <f t="shared" si="9"/>
        <v>0.55493137782561897</v>
      </c>
    </row>
    <row r="50" spans="1:7" ht="15.75">
      <c r="A50" s="23" t="str">
        <f>Break!A50</f>
        <v>Hyd_Kunj Bihari (1008560)</v>
      </c>
      <c r="B50" s="24" t="s">
        <v>1057</v>
      </c>
      <c r="C50" s="27">
        <f t="shared" si="5"/>
        <v>0.33285879629629628</v>
      </c>
      <c r="D50" s="27">
        <f t="shared" si="6"/>
        <v>0.19598379629629628</v>
      </c>
      <c r="E50" s="27">
        <f t="shared" si="7"/>
        <v>4.8738425925925921E-2</v>
      </c>
      <c r="F50" s="25">
        <f t="shared" si="8"/>
        <v>49</v>
      </c>
      <c r="G50" s="26">
        <f t="shared" si="9"/>
        <v>0.55217497131332804</v>
      </c>
    </row>
    <row r="51" spans="1:7" ht="15.75">
      <c r="A51" s="23" t="str">
        <f>Break!A51</f>
        <v>Hyd_Leena George (1008561)</v>
      </c>
      <c r="B51" s="24" t="s">
        <v>1058</v>
      </c>
      <c r="C51" s="27">
        <f t="shared" si="5"/>
        <v>0.20570601851851852</v>
      </c>
      <c r="D51" s="27">
        <f t="shared" si="6"/>
        <v>0.13252314814814814</v>
      </c>
      <c r="E51" s="27">
        <f t="shared" si="7"/>
        <v>1.2615740740740742E-2</v>
      </c>
      <c r="F51" s="25">
        <f t="shared" si="8"/>
        <v>48</v>
      </c>
      <c r="G51" s="26">
        <f t="shared" si="9"/>
        <v>0.58819557756147001</v>
      </c>
    </row>
    <row r="52" spans="1:7" ht="15.75">
      <c r="A52" s="23" t="str">
        <f>Break!A52</f>
        <v>Hyd_Lilly Lucy (1008562)</v>
      </c>
      <c r="B52" s="24" t="s">
        <v>1059</v>
      </c>
      <c r="C52" s="27">
        <f t="shared" si="5"/>
        <v>0.32318287037037036</v>
      </c>
      <c r="D52" s="27">
        <f t="shared" si="6"/>
        <v>0.19381944444444443</v>
      </c>
      <c r="E52" s="27">
        <f t="shared" si="7"/>
        <v>5.1898148148148145E-2</v>
      </c>
      <c r="F52" s="25">
        <f t="shared" si="8"/>
        <v>47</v>
      </c>
      <c r="G52" s="26">
        <f t="shared" si="9"/>
        <v>0.55534863732407003</v>
      </c>
    </row>
    <row r="53" spans="1:7" ht="15.75">
      <c r="A53" s="23" t="str">
        <f>Break!A53</f>
        <v>Hyd_Mangal Singh (1008563)</v>
      </c>
      <c r="B53" s="24" t="s">
        <v>1060</v>
      </c>
      <c r="C53" s="27">
        <f t="shared" si="5"/>
        <v>0.33348379629629626</v>
      </c>
      <c r="D53" s="27">
        <f t="shared" si="6"/>
        <v>0.19890046296296296</v>
      </c>
      <c r="E53" s="27">
        <f t="shared" si="7"/>
        <v>4.8657407407407406E-2</v>
      </c>
      <c r="F53" s="25">
        <f t="shared" si="8"/>
        <v>46</v>
      </c>
      <c r="G53" s="26">
        <f t="shared" si="9"/>
        <v>0.55815083469267301</v>
      </c>
    </row>
    <row r="54" spans="1:7" ht="15.75">
      <c r="A54" s="23" t="str">
        <f>Break!A54</f>
        <v>Hyd_Manisha Shrivastava (1008564)</v>
      </c>
      <c r="B54" s="24" t="s">
        <v>1061</v>
      </c>
      <c r="C54" s="27">
        <f t="shared" si="5"/>
        <v>0.34015046296296297</v>
      </c>
      <c r="D54" s="27">
        <f t="shared" si="6"/>
        <v>0.20222222222222222</v>
      </c>
      <c r="E54" s="27">
        <f t="shared" si="7"/>
        <v>4.8715277777777781E-2</v>
      </c>
      <c r="F54" s="25">
        <f t="shared" si="8"/>
        <v>45</v>
      </c>
      <c r="G54" s="26">
        <f t="shared" si="9"/>
        <v>0.53002824185919895</v>
      </c>
    </row>
    <row r="55" spans="1:7" ht="15.75">
      <c r="A55" s="23" t="str">
        <f>Break!A55</f>
        <v>Hyd_Manjusha Sinha (1008565)</v>
      </c>
      <c r="B55" s="24" t="s">
        <v>1062</v>
      </c>
      <c r="C55" s="27">
        <f t="shared" si="5"/>
        <v>0.34311342592592592</v>
      </c>
      <c r="D55" s="27">
        <f t="shared" si="6"/>
        <v>0.21112268518518518</v>
      </c>
      <c r="E55" s="27">
        <f t="shared" si="7"/>
        <v>4.9062500000000002E-2</v>
      </c>
      <c r="F55" s="25">
        <f t="shared" si="8"/>
        <v>44</v>
      </c>
      <c r="G55" s="26">
        <f t="shared" si="9"/>
        <v>0.54639905548996504</v>
      </c>
    </row>
    <row r="56" spans="1:7" ht="15.75">
      <c r="A56" s="23" t="str">
        <f>Break!A56</f>
        <v>Hyd_ManjuTiwari Lab (1008566)</v>
      </c>
      <c r="B56" s="24" t="s">
        <v>1063</v>
      </c>
      <c r="C56" s="27">
        <f t="shared" si="5"/>
        <v>0.32046296296296295</v>
      </c>
      <c r="D56" s="27">
        <f t="shared" si="6"/>
        <v>0.18484953703703702</v>
      </c>
      <c r="E56" s="27">
        <f t="shared" si="7"/>
        <v>4.9143518518518524E-2</v>
      </c>
      <c r="F56" s="25">
        <f t="shared" si="8"/>
        <v>43</v>
      </c>
      <c r="G56" s="26">
        <f t="shared" si="9"/>
        <v>0.52849609939323905</v>
      </c>
    </row>
    <row r="57" spans="1:7" ht="15.75">
      <c r="A57" s="23" t="str">
        <f>Break!A57</f>
        <v>Hyd_Manoj Kumar (1008567)</v>
      </c>
      <c r="B57" s="24" t="s">
        <v>1005</v>
      </c>
      <c r="C57" s="27">
        <f t="shared" si="5"/>
        <v>0.33384259259259258</v>
      </c>
      <c r="D57" s="27">
        <f t="shared" si="6"/>
        <v>0.1867824074074074</v>
      </c>
      <c r="E57" s="27">
        <f t="shared" si="7"/>
        <v>4.853009259259259E-2</v>
      </c>
      <c r="F57" s="25">
        <f t="shared" si="8"/>
        <v>42</v>
      </c>
      <c r="G57" s="26">
        <f t="shared" si="9"/>
        <v>0.53279711551795905</v>
      </c>
    </row>
    <row r="58" spans="1:7" ht="15.75">
      <c r="A58" s="23" t="str">
        <f>Break!A58</f>
        <v>Hyd_Manoj Kumar (1008568)</v>
      </c>
      <c r="B58" s="24" t="s">
        <v>1005</v>
      </c>
      <c r="C58" s="27">
        <f t="shared" si="5"/>
        <v>0.33012731481481478</v>
      </c>
      <c r="D58" s="27">
        <f t="shared" si="6"/>
        <v>0.18739583333333332</v>
      </c>
      <c r="E58" s="27">
        <f t="shared" si="7"/>
        <v>5.2766203703703697E-2</v>
      </c>
      <c r="F58" s="25">
        <f t="shared" si="8"/>
        <v>41</v>
      </c>
      <c r="G58" s="26">
        <f t="shared" si="9"/>
        <v>0.53150089401535605</v>
      </c>
    </row>
    <row r="59" spans="1:7" ht="15.75">
      <c r="A59" s="23" t="str">
        <f>Break!A59</f>
        <v>Hyd_Masroor Adil (1008569)</v>
      </c>
      <c r="B59" s="24" t="s">
        <v>1064</v>
      </c>
      <c r="C59" s="27">
        <f t="shared" si="5"/>
        <v>0.34032407407407406</v>
      </c>
      <c r="D59" s="27">
        <f t="shared" si="6"/>
        <v>0.21151620370370372</v>
      </c>
      <c r="E59" s="27">
        <f t="shared" si="7"/>
        <v>4.9756944444444444E-2</v>
      </c>
      <c r="F59" s="25">
        <f t="shared" si="8"/>
        <v>40</v>
      </c>
      <c r="G59" s="26">
        <f t="shared" si="9"/>
        <v>0.58954564004897303</v>
      </c>
    </row>
    <row r="60" spans="1:7" ht="15.75">
      <c r="A60" s="23" t="str">
        <f>Break!A60</f>
        <v>Hyd_Meena Zinjare (1008570)</v>
      </c>
      <c r="B60" s="24" t="s">
        <v>1065</v>
      </c>
      <c r="C60" s="27">
        <f t="shared" si="5"/>
        <v>0.33714120370370365</v>
      </c>
      <c r="D60" s="27">
        <f t="shared" si="6"/>
        <v>0.13162037037037036</v>
      </c>
      <c r="E60" s="27">
        <f t="shared" si="7"/>
        <v>0.14913194444444444</v>
      </c>
      <c r="F60" s="25">
        <f t="shared" si="8"/>
        <v>39</v>
      </c>
      <c r="G60" s="26">
        <f t="shared" si="9"/>
        <v>0.34903360911806097</v>
      </c>
    </row>
    <row r="61" spans="1:7" ht="15.75">
      <c r="A61" s="23" t="str">
        <f>Break!A61</f>
        <v>Hyd_Mehnaz Khan (1008571)</v>
      </c>
      <c r="B61" s="24" t="s">
        <v>1066</v>
      </c>
      <c r="C61" s="27">
        <f t="shared" si="5"/>
        <v>0.34364583333333337</v>
      </c>
      <c r="D61" s="27">
        <f t="shared" si="6"/>
        <v>0.17246527777777776</v>
      </c>
      <c r="E61" s="27">
        <f t="shared" si="7"/>
        <v>9.194444444444444E-2</v>
      </c>
      <c r="F61" s="25">
        <f t="shared" si="8"/>
        <v>38</v>
      </c>
      <c r="G61" s="26">
        <f t="shared" si="9"/>
        <v>0.47933717288067101</v>
      </c>
    </row>
    <row r="62" spans="1:7" ht="15.75">
      <c r="A62" s="23" t="str">
        <f>Break!A62</f>
        <v>Hyd_Mercy Thampi (1008572)</v>
      </c>
      <c r="B62" s="24" t="s">
        <v>1067</v>
      </c>
      <c r="C62" s="27">
        <f t="shared" si="5"/>
        <v>0.21915509259259258</v>
      </c>
      <c r="D62" s="27">
        <f t="shared" si="6"/>
        <v>0.15189814814814814</v>
      </c>
      <c r="E62" s="27">
        <f t="shared" si="7"/>
        <v>1.082175925925926E-2</v>
      </c>
      <c r="F62" s="25">
        <f t="shared" si="8"/>
        <v>37</v>
      </c>
      <c r="G62" s="26">
        <f t="shared" si="9"/>
        <v>0.62762080802746201</v>
      </c>
    </row>
    <row r="63" spans="1:7" ht="15.75">
      <c r="A63" s="23" t="str">
        <f>Break!A63</f>
        <v>Hyd_Miny Mole (1008573)</v>
      </c>
      <c r="B63" s="24" t="s">
        <v>1068</v>
      </c>
      <c r="C63" s="27">
        <f t="shared" si="5"/>
        <v>0.3417824074074074</v>
      </c>
      <c r="D63" s="27">
        <f t="shared" si="6"/>
        <v>0.17645833333333336</v>
      </c>
      <c r="E63" s="27">
        <f t="shared" si="7"/>
        <v>9.2442129629629624E-2</v>
      </c>
      <c r="F63" s="25">
        <f t="shared" si="8"/>
        <v>36</v>
      </c>
      <c r="G63" s="26">
        <f t="shared" si="9"/>
        <v>0.47561801557737898</v>
      </c>
    </row>
    <row r="64" spans="1:7" ht="15.75">
      <c r="A64" s="23" t="str">
        <f>Break!A64</f>
        <v>Hyd_Mohd Rafi (1008574)</v>
      </c>
      <c r="B64" s="24" t="s">
        <v>1069</v>
      </c>
      <c r="C64" s="27">
        <f t="shared" si="5"/>
        <v>0.33370370370370367</v>
      </c>
      <c r="D64" s="27">
        <f t="shared" si="6"/>
        <v>0.16336805555555556</v>
      </c>
      <c r="E64" s="27">
        <f t="shared" si="7"/>
        <v>0.11005787037037036</v>
      </c>
      <c r="F64" s="25">
        <f t="shared" si="8"/>
        <v>35</v>
      </c>
      <c r="G64" s="26">
        <f t="shared" si="9"/>
        <v>0.43635543840177599</v>
      </c>
    </row>
    <row r="65" spans="1:7" ht="15.75">
      <c r="A65" s="23" t="str">
        <f>Break!A65</f>
        <v>Hyd_Mubeen Khan (1008575)</v>
      </c>
      <c r="B65" s="24" t="s">
        <v>1070</v>
      </c>
      <c r="C65" s="27">
        <f t="shared" si="5"/>
        <v>0.33026620370370369</v>
      </c>
      <c r="D65" s="27">
        <f t="shared" si="6"/>
        <v>0.16021990740740741</v>
      </c>
      <c r="E65" s="27">
        <f t="shared" si="7"/>
        <v>0.10043981481481483</v>
      </c>
      <c r="F65" s="25">
        <f t="shared" si="8"/>
        <v>34</v>
      </c>
      <c r="G65" s="26">
        <f t="shared" si="9"/>
        <v>0.451270369721395</v>
      </c>
    </row>
    <row r="66" spans="1:7" ht="15.75">
      <c r="A66" s="23" t="str">
        <f>Break!A66</f>
        <v>Hyd_Mukesh Nagar (1008576)</v>
      </c>
      <c r="B66" s="24" t="s">
        <v>1071</v>
      </c>
      <c r="C66" s="27">
        <f t="shared" ref="C66:C97" si="10">TIMEVALUE(VLOOKUP(A66,EData,2,0))</f>
        <v>0.20910879629629631</v>
      </c>
      <c r="D66" s="27">
        <f t="shared" ref="D66:D97" si="11">TIMEVALUE(VLOOKUP(A66,EData,3,0))</f>
        <v>0.13449074074074074</v>
      </c>
      <c r="E66" s="27">
        <f t="shared" ref="E66:E97" si="12">TIMEVALUE(VLOOKUP(A66,BData,9,0))</f>
        <v>2.0532407407407405E-2</v>
      </c>
      <c r="F66" s="25">
        <f t="shared" ref="F66:F97" si="13">VLOOKUP(A66,PData,2,0)</f>
        <v>33</v>
      </c>
      <c r="G66" s="26">
        <f t="shared" ref="G66:G97" si="14">VLOOKUP(A66,EData,6,0)</f>
        <v>0.61244257486024201</v>
      </c>
    </row>
    <row r="67" spans="1:7" ht="15.75">
      <c r="A67" s="23" t="str">
        <f>Break!A67</f>
        <v>Hyd_Nandu Kumar (1008577)</v>
      </c>
      <c r="B67" s="24" t="s">
        <v>1072</v>
      </c>
      <c r="C67" s="27">
        <f t="shared" si="10"/>
        <v>0.34836805555555556</v>
      </c>
      <c r="D67" s="27">
        <f t="shared" si="11"/>
        <v>0.19697916666666668</v>
      </c>
      <c r="E67" s="27">
        <f t="shared" si="12"/>
        <v>5.1423611111111107E-2</v>
      </c>
      <c r="F67" s="25">
        <f t="shared" si="13"/>
        <v>32</v>
      </c>
      <c r="G67" s="26">
        <f t="shared" si="14"/>
        <v>0.51755872288115901</v>
      </c>
    </row>
    <row r="68" spans="1:7" ht="15.75">
      <c r="A68" s="23" t="str">
        <f>Break!A68</f>
        <v>Hyd_Narayan Singh (1008578)</v>
      </c>
      <c r="B68" s="24" t="s">
        <v>1073</v>
      </c>
      <c r="C68" s="27">
        <f t="shared" si="10"/>
        <v>0.34686342592592595</v>
      </c>
      <c r="D68" s="27">
        <f t="shared" si="11"/>
        <v>0.2043865740740741</v>
      </c>
      <c r="E68" s="27">
        <f t="shared" si="12"/>
        <v>4.7534722222222221E-2</v>
      </c>
      <c r="F68" s="25">
        <f t="shared" si="13"/>
        <v>31</v>
      </c>
      <c r="G68" s="26">
        <f t="shared" si="14"/>
        <v>0.55550735760285597</v>
      </c>
    </row>
    <row r="69" spans="1:7" ht="15.75">
      <c r="A69" s="23" t="str">
        <f>Break!A69</f>
        <v>Hyd_Neeraj Saxena (1008579)</v>
      </c>
      <c r="B69" s="24" t="s">
        <v>1074</v>
      </c>
      <c r="C69" s="27">
        <f t="shared" si="10"/>
        <v>0.3480671296296296</v>
      </c>
      <c r="D69" s="27">
        <f t="shared" si="11"/>
        <v>0.19177083333333333</v>
      </c>
      <c r="E69" s="27">
        <f t="shared" si="12"/>
        <v>9.3958333333333324E-2</v>
      </c>
      <c r="F69" s="25">
        <f t="shared" si="13"/>
        <v>30</v>
      </c>
      <c r="G69" s="26">
        <f t="shared" si="14"/>
        <v>0.45535862734013899</v>
      </c>
    </row>
    <row r="70" spans="1:7" ht="15.75">
      <c r="A70" s="23" t="str">
        <f>Break!A70</f>
        <v>Hyd_Neeru Mehta (1008580)</v>
      </c>
      <c r="B70" s="24" t="s">
        <v>1075</v>
      </c>
      <c r="C70" s="27">
        <f t="shared" si="10"/>
        <v>0.33495370370370375</v>
      </c>
      <c r="D70" s="27">
        <f t="shared" si="11"/>
        <v>0.19739583333333333</v>
      </c>
      <c r="E70" s="27">
        <f t="shared" si="12"/>
        <v>4.8645833333333333E-2</v>
      </c>
      <c r="F70" s="25">
        <f t="shared" si="13"/>
        <v>29</v>
      </c>
      <c r="G70" s="26">
        <f t="shared" si="14"/>
        <v>0.53445058742225304</v>
      </c>
    </row>
    <row r="71" spans="1:7" ht="15.75">
      <c r="A71" s="23" t="str">
        <f>Break!A71</f>
        <v>Hyd_Nikita Panwalkar (1008581)</v>
      </c>
      <c r="B71" s="24" t="s">
        <v>1076</v>
      </c>
      <c r="C71" s="27">
        <f t="shared" si="10"/>
        <v>0.34497685185185184</v>
      </c>
      <c r="D71" s="27">
        <f t="shared" si="11"/>
        <v>0.20746527777777779</v>
      </c>
      <c r="E71" s="27">
        <f t="shared" si="12"/>
        <v>6.7650462962962968E-2</v>
      </c>
      <c r="F71" s="25">
        <f t="shared" si="13"/>
        <v>28</v>
      </c>
      <c r="G71" s="26">
        <f t="shared" si="14"/>
        <v>0.55914916459773201</v>
      </c>
    </row>
    <row r="72" spans="1:7" ht="15.75">
      <c r="A72" s="23" t="str">
        <f>Break!A72</f>
        <v>Hyd_Nitin Bhatia (1008582)</v>
      </c>
      <c r="B72" s="24" t="s">
        <v>1077</v>
      </c>
      <c r="C72" s="27">
        <f t="shared" si="10"/>
        <v>0.33376157407407409</v>
      </c>
      <c r="D72" s="27">
        <f t="shared" si="11"/>
        <v>0.19787037037037036</v>
      </c>
      <c r="E72" s="27">
        <f t="shared" si="12"/>
        <v>4.853009259259259E-2</v>
      </c>
      <c r="F72" s="25">
        <f t="shared" si="13"/>
        <v>29</v>
      </c>
      <c r="G72" s="26">
        <f t="shared" si="14"/>
        <v>0.56847106148351101</v>
      </c>
    </row>
    <row r="73" spans="1:7" ht="15.75">
      <c r="A73" s="23" t="str">
        <f>Break!A73</f>
        <v>Hyd_Om Prakash (1008583)</v>
      </c>
      <c r="B73" s="24" t="s">
        <v>1078</v>
      </c>
      <c r="C73" s="27">
        <f t="shared" si="10"/>
        <v>0.33037037037037037</v>
      </c>
      <c r="D73" s="27">
        <f t="shared" si="11"/>
        <v>0.1849652777777778</v>
      </c>
      <c r="E73" s="27">
        <f t="shared" si="12"/>
        <v>6.6701388888888893E-2</v>
      </c>
      <c r="F73" s="25">
        <f t="shared" si="13"/>
        <v>30</v>
      </c>
      <c r="G73" s="26">
        <f t="shared" si="14"/>
        <v>0.47509108744394601</v>
      </c>
    </row>
    <row r="74" spans="1:7" ht="15.75">
      <c r="A74" s="23" t="str">
        <f>Break!A74</f>
        <v>Hyd_Omprakash O (1008584)</v>
      </c>
      <c r="B74" s="24" t="s">
        <v>1079</v>
      </c>
      <c r="C74" s="27">
        <f t="shared" si="10"/>
        <v>0.34008101851851852</v>
      </c>
      <c r="D74" s="27">
        <f t="shared" si="11"/>
        <v>0.16811342592592593</v>
      </c>
      <c r="E74" s="27">
        <f t="shared" si="12"/>
        <v>9.1597222222222219E-2</v>
      </c>
      <c r="F74" s="25">
        <f t="shared" si="13"/>
        <v>31</v>
      </c>
      <c r="G74" s="26">
        <f t="shared" si="14"/>
        <v>0.47578531804104401</v>
      </c>
    </row>
    <row r="75" spans="1:7" ht="15.75">
      <c r="A75" s="23" t="str">
        <f>Break!A75</f>
        <v>Hyd_Owais Mohd (1008585)</v>
      </c>
      <c r="B75" s="24" t="s">
        <v>1080</v>
      </c>
      <c r="C75" s="27">
        <f t="shared" si="10"/>
        <v>0.33415509259259263</v>
      </c>
      <c r="D75" s="27">
        <f t="shared" si="11"/>
        <v>0.16863425925925926</v>
      </c>
      <c r="E75" s="27">
        <f t="shared" si="12"/>
        <v>0.10168981481481482</v>
      </c>
      <c r="F75" s="25">
        <f t="shared" si="13"/>
        <v>32</v>
      </c>
      <c r="G75" s="26">
        <f t="shared" si="14"/>
        <v>0.46898271622042897</v>
      </c>
    </row>
    <row r="76" spans="1:7" ht="15.75">
      <c r="A76" s="23" t="str">
        <f>Break!A76</f>
        <v>Hyd_Pankaj Shelkey (1008586)</v>
      </c>
      <c r="B76" s="24" t="s">
        <v>1081</v>
      </c>
      <c r="C76" s="27">
        <f t="shared" si="10"/>
        <v>0.34437500000000004</v>
      </c>
      <c r="D76" s="27">
        <f t="shared" si="11"/>
        <v>0.18534722222222222</v>
      </c>
      <c r="E76" s="27">
        <f t="shared" si="12"/>
        <v>8.0162037037037046E-2</v>
      </c>
      <c r="F76" s="25">
        <f t="shared" si="13"/>
        <v>33</v>
      </c>
      <c r="G76" s="26">
        <f t="shared" si="14"/>
        <v>0.51361161524500898</v>
      </c>
    </row>
    <row r="77" spans="1:7" ht="15.75">
      <c r="A77" s="23" t="str">
        <f>Break!A77</f>
        <v>Hyd_Partha Sarathi (1008587)</v>
      </c>
      <c r="B77" s="24" t="s">
        <v>1082</v>
      </c>
      <c r="C77" s="27">
        <f t="shared" si="10"/>
        <v>0.3558101851851852</v>
      </c>
      <c r="D77" s="27">
        <f t="shared" si="11"/>
        <v>0.21642361111111111</v>
      </c>
      <c r="E77" s="27">
        <f t="shared" si="12"/>
        <v>6.8541666666666667E-2</v>
      </c>
      <c r="F77" s="25">
        <f t="shared" si="13"/>
        <v>34</v>
      </c>
      <c r="G77" s="26">
        <f t="shared" si="14"/>
        <v>0.525112224318522</v>
      </c>
    </row>
    <row r="78" spans="1:7" ht="15.75">
      <c r="A78" s="23" t="str">
        <f>Break!A78</f>
        <v>Hyd_Prabha Desikan (1008588)</v>
      </c>
      <c r="B78" s="24" t="s">
        <v>1083</v>
      </c>
      <c r="C78" s="27">
        <f t="shared" si="10"/>
        <v>0.34848379629629633</v>
      </c>
      <c r="D78" s="27">
        <f t="shared" si="11"/>
        <v>0.12767361111111111</v>
      </c>
      <c r="E78" s="27">
        <f t="shared" si="12"/>
        <v>0.17460648148148147</v>
      </c>
      <c r="F78" s="25">
        <f t="shared" si="13"/>
        <v>35</v>
      </c>
      <c r="G78" s="26">
        <f t="shared" si="14"/>
        <v>0.348600086352918</v>
      </c>
    </row>
    <row r="79" spans="1:7" ht="15.75">
      <c r="A79" s="23" t="str">
        <f>Break!A79</f>
        <v>Hyd_Pramod Tiwari (1008589)</v>
      </c>
      <c r="B79" s="24" t="s">
        <v>1084</v>
      </c>
      <c r="C79" s="27">
        <f t="shared" si="10"/>
        <v>0.35092592592592592</v>
      </c>
      <c r="D79" s="27">
        <f t="shared" si="11"/>
        <v>0.12086805555555556</v>
      </c>
      <c r="E79" s="27">
        <f t="shared" si="12"/>
        <v>0.18131944444444445</v>
      </c>
      <c r="F79" s="25">
        <f t="shared" si="13"/>
        <v>36</v>
      </c>
      <c r="G79" s="26">
        <f t="shared" si="14"/>
        <v>0.314709762532982</v>
      </c>
    </row>
    <row r="80" spans="1:7" ht="15.75">
      <c r="A80" s="23" t="str">
        <f>Break!A80</f>
        <v>Hyd_Prasannakumari S (1008590)</v>
      </c>
      <c r="B80" s="24" t="s">
        <v>1085</v>
      </c>
      <c r="C80" s="27">
        <f t="shared" si="10"/>
        <v>0.33891203703703704</v>
      </c>
      <c r="D80" s="27">
        <f t="shared" si="11"/>
        <v>0.21581018518518516</v>
      </c>
      <c r="E80" s="27">
        <f t="shared" si="12"/>
        <v>4.8900462962962965E-2</v>
      </c>
      <c r="F80" s="25">
        <f t="shared" si="13"/>
        <v>37</v>
      </c>
      <c r="G80" s="26">
        <f t="shared" si="14"/>
        <v>0.55600710333993597</v>
      </c>
    </row>
    <row r="81" spans="1:7" ht="15.75">
      <c r="A81" s="23" t="str">
        <f>Break!A81</f>
        <v>Hyd_Praveen Kumar (1008591)</v>
      </c>
      <c r="B81" s="24" t="s">
        <v>1086</v>
      </c>
      <c r="C81" s="27">
        <f t="shared" si="10"/>
        <v>0.34675925925925927</v>
      </c>
      <c r="D81" s="27">
        <f t="shared" si="11"/>
        <v>0.17275462962962962</v>
      </c>
      <c r="E81" s="27">
        <f t="shared" si="12"/>
        <v>0.10935185185185185</v>
      </c>
      <c r="F81" s="25">
        <f t="shared" si="13"/>
        <v>38</v>
      </c>
      <c r="G81" s="26">
        <f t="shared" si="14"/>
        <v>0.46221628838451301</v>
      </c>
    </row>
    <row r="82" spans="1:7" ht="15.75">
      <c r="A82" s="23" t="str">
        <f>Break!A82</f>
        <v>Hyd_Rachel Mathew (1008592)</v>
      </c>
      <c r="B82" s="24" t="s">
        <v>1087</v>
      </c>
      <c r="C82" s="27">
        <f t="shared" si="10"/>
        <v>0.3511111111111111</v>
      </c>
      <c r="D82" s="27">
        <f t="shared" si="11"/>
        <v>0.15339120370370371</v>
      </c>
      <c r="E82" s="27">
        <f t="shared" si="12"/>
        <v>0.13890046296296296</v>
      </c>
      <c r="F82" s="25">
        <f t="shared" si="13"/>
        <v>39</v>
      </c>
      <c r="G82" s="26">
        <f t="shared" si="14"/>
        <v>0.39075685654008402</v>
      </c>
    </row>
    <row r="83" spans="1:7" ht="15.75">
      <c r="A83" s="23" t="str">
        <f>Break!A83</f>
        <v>Hyd_Rachita Anupam (1008593)</v>
      </c>
      <c r="B83" s="24" t="s">
        <v>1088</v>
      </c>
      <c r="C83" s="27">
        <f t="shared" si="10"/>
        <v>0.3447453703703704</v>
      </c>
      <c r="D83" s="27">
        <f t="shared" si="11"/>
        <v>0.21947916666666667</v>
      </c>
      <c r="E83" s="27">
        <f t="shared" si="12"/>
        <v>4.7592592592592596E-2</v>
      </c>
      <c r="F83" s="25">
        <f t="shared" si="13"/>
        <v>40</v>
      </c>
      <c r="G83" s="26">
        <f t="shared" si="14"/>
        <v>0.54713623850130899</v>
      </c>
    </row>
    <row r="84" spans="1:7" ht="15.75">
      <c r="A84" s="23" t="str">
        <f>Break!A84</f>
        <v>Hyd_Rachna Chauhan (1008594)</v>
      </c>
      <c r="B84" s="24" t="s">
        <v>1089</v>
      </c>
      <c r="C84" s="27">
        <f t="shared" si="10"/>
        <v>0.3167476851851852</v>
      </c>
      <c r="D84" s="27">
        <f t="shared" si="11"/>
        <v>0.21346064814814814</v>
      </c>
      <c r="E84" s="27">
        <f t="shared" si="12"/>
        <v>2.1064814814814814E-2</v>
      </c>
      <c r="F84" s="25">
        <f t="shared" si="13"/>
        <v>41</v>
      </c>
      <c r="G84" s="26">
        <f t="shared" si="14"/>
        <v>0.61457229509993805</v>
      </c>
    </row>
    <row r="85" spans="1:7" ht="15.75">
      <c r="A85" s="23" t="str">
        <f>Break!A85</f>
        <v>Hyd_Raj Kumar (1008595)</v>
      </c>
      <c r="B85" s="24" t="s">
        <v>1090</v>
      </c>
      <c r="C85" s="27">
        <f t="shared" si="10"/>
        <v>0.34024305555555556</v>
      </c>
      <c r="D85" s="27">
        <f t="shared" si="11"/>
        <v>0.21100694444444446</v>
      </c>
      <c r="E85" s="27">
        <f t="shared" si="12"/>
        <v>4.7731481481481486E-2</v>
      </c>
      <c r="F85" s="25">
        <f t="shared" si="13"/>
        <v>42</v>
      </c>
      <c r="G85" s="26">
        <f t="shared" si="14"/>
        <v>0.55335578460387103</v>
      </c>
    </row>
    <row r="86" spans="1:7" ht="15.75">
      <c r="A86" s="23" t="str">
        <f>Break!A86</f>
        <v>Hyd_Rajeev Garg (1008596)</v>
      </c>
      <c r="B86" s="24" t="s">
        <v>1091</v>
      </c>
      <c r="C86" s="27">
        <f t="shared" si="10"/>
        <v>0.33611111111111108</v>
      </c>
      <c r="D86" s="27">
        <f t="shared" si="11"/>
        <v>0.21214120370370371</v>
      </c>
      <c r="E86" s="27">
        <f t="shared" si="12"/>
        <v>4.7500000000000007E-2</v>
      </c>
      <c r="F86" s="25">
        <f t="shared" si="13"/>
        <v>43</v>
      </c>
      <c r="G86" s="26">
        <f t="shared" si="14"/>
        <v>0.611363636363636</v>
      </c>
    </row>
    <row r="87" spans="1:7" ht="15.75">
      <c r="A87" s="23" t="str">
        <f>Break!A87</f>
        <v>Hyd_Rajeev Kumar (1008597)</v>
      </c>
      <c r="B87" s="24" t="s">
        <v>1092</v>
      </c>
      <c r="C87" s="27">
        <f t="shared" si="10"/>
        <v>0.3331365740740741</v>
      </c>
      <c r="D87" s="27">
        <f t="shared" si="11"/>
        <v>0.18670138888888888</v>
      </c>
      <c r="E87" s="27">
        <f t="shared" si="12"/>
        <v>6.7430555555555563E-2</v>
      </c>
      <c r="F87" s="25">
        <f t="shared" si="13"/>
        <v>44</v>
      </c>
      <c r="G87" s="26">
        <f t="shared" si="14"/>
        <v>0.51217732689434703</v>
      </c>
    </row>
    <row r="88" spans="1:7" ht="15.75">
      <c r="A88" s="23" t="str">
        <f>Break!A88</f>
        <v>Hyd_Rajendra Gupta (1008598)</v>
      </c>
      <c r="B88" s="24" t="s">
        <v>1093</v>
      </c>
      <c r="C88" s="27">
        <f t="shared" si="10"/>
        <v>0.35135416666666663</v>
      </c>
      <c r="D88" s="27">
        <f t="shared" si="11"/>
        <v>0.20708333333333331</v>
      </c>
      <c r="E88" s="27">
        <f t="shared" si="12"/>
        <v>5.4953703703703706E-2</v>
      </c>
      <c r="F88" s="25">
        <f t="shared" si="13"/>
        <v>45</v>
      </c>
      <c r="G88" s="26">
        <f t="shared" si="14"/>
        <v>0.56029910728991705</v>
      </c>
    </row>
    <row r="89" spans="1:7" ht="15.75">
      <c r="A89" s="23" t="str">
        <f>Break!A89</f>
        <v>Hyd_Rajendra Kumar (1008599)</v>
      </c>
      <c r="B89" s="24" t="s">
        <v>1094</v>
      </c>
      <c r="C89" s="27">
        <f t="shared" si="10"/>
        <v>0.34356481481481477</v>
      </c>
      <c r="D89" s="27">
        <f t="shared" si="11"/>
        <v>0.16344907407407408</v>
      </c>
      <c r="E89" s="27">
        <f t="shared" si="12"/>
        <v>0.10712962962962963</v>
      </c>
      <c r="F89" s="25">
        <f t="shared" si="13"/>
        <v>46</v>
      </c>
      <c r="G89" s="26">
        <f t="shared" si="14"/>
        <v>0.42891793558819602</v>
      </c>
    </row>
    <row r="90" spans="1:7" ht="15.75">
      <c r="A90" s="23" t="str">
        <f>Break!A90</f>
        <v>Hyd_Rajendra Prasad (1008600)</v>
      </c>
      <c r="B90" s="24" t="s">
        <v>1095</v>
      </c>
      <c r="C90" s="27">
        <f t="shared" si="10"/>
        <v>0.34900462962962964</v>
      </c>
      <c r="D90" s="27">
        <f t="shared" si="11"/>
        <v>3.3715277777777775E-2</v>
      </c>
      <c r="E90" s="27">
        <f t="shared" si="12"/>
        <v>0.29744212962962963</v>
      </c>
      <c r="F90" s="25">
        <f t="shared" si="13"/>
        <v>47</v>
      </c>
      <c r="G90" s="26">
        <f t="shared" si="14"/>
        <v>9.4547987000066294E-2</v>
      </c>
    </row>
    <row r="91" spans="1:7" ht="15.75">
      <c r="A91" s="23" t="str">
        <f>Break!A91</f>
        <v>Hyd_Rajesh Kumar (1008601)</v>
      </c>
      <c r="B91" s="24" t="s">
        <v>1006</v>
      </c>
      <c r="C91" s="27">
        <f t="shared" si="10"/>
        <v>0.33378472222222227</v>
      </c>
      <c r="D91" s="27">
        <f t="shared" si="11"/>
        <v>0.21655092592592592</v>
      </c>
      <c r="E91" s="27">
        <f t="shared" si="12"/>
        <v>5.004629629629629E-2</v>
      </c>
      <c r="F91" s="25">
        <f t="shared" si="13"/>
        <v>48</v>
      </c>
      <c r="G91" s="26">
        <f t="shared" si="14"/>
        <v>0.61021533340268397</v>
      </c>
    </row>
    <row r="92" spans="1:7" ht="15.75">
      <c r="A92" s="23" t="str">
        <f>Break!A92</f>
        <v>Hyd_Rajesh Kumar (1008602)</v>
      </c>
      <c r="B92" s="24" t="s">
        <v>1006</v>
      </c>
      <c r="C92" s="27">
        <f t="shared" si="10"/>
        <v>0.34559027777777779</v>
      </c>
      <c r="D92" s="27">
        <f t="shared" si="11"/>
        <v>0.2011574074074074</v>
      </c>
      <c r="E92" s="27">
        <f t="shared" si="12"/>
        <v>8.790509259259259E-2</v>
      </c>
      <c r="F92" s="25">
        <f t="shared" si="13"/>
        <v>49</v>
      </c>
      <c r="G92" s="26">
        <f t="shared" si="14"/>
        <v>0.51260926353863201</v>
      </c>
    </row>
    <row r="93" spans="1:7" ht="15.75">
      <c r="A93" s="23" t="str">
        <f>Break!A93</f>
        <v>Hyd_Rajesh Sharma (1008603)</v>
      </c>
      <c r="B93" s="24" t="s">
        <v>1096</v>
      </c>
      <c r="C93" s="27">
        <f t="shared" si="10"/>
        <v>0.21146990740740743</v>
      </c>
      <c r="D93" s="27">
        <f t="shared" si="11"/>
        <v>0.14190972222222223</v>
      </c>
      <c r="E93" s="27">
        <f t="shared" si="12"/>
        <v>1.6979166666666667E-2</v>
      </c>
      <c r="F93" s="25">
        <f t="shared" si="13"/>
        <v>50</v>
      </c>
      <c r="G93" s="26">
        <f t="shared" si="14"/>
        <v>0.62426796562859199</v>
      </c>
    </row>
    <row r="94" spans="1:7" ht="15.75">
      <c r="A94" s="23" t="str">
        <f>Break!A94</f>
        <v>Hyd_Raji Abraham (1008604)</v>
      </c>
      <c r="B94" s="24" t="s">
        <v>1097</v>
      </c>
      <c r="C94" s="27">
        <f t="shared" si="10"/>
        <v>0.34075231481481483</v>
      </c>
      <c r="D94" s="27">
        <f t="shared" si="11"/>
        <v>0.1976273148148148</v>
      </c>
      <c r="E94" s="27">
        <f t="shared" si="12"/>
        <v>4.8240740740740744E-2</v>
      </c>
      <c r="F94" s="25">
        <f t="shared" si="13"/>
        <v>51</v>
      </c>
      <c r="G94" s="26">
        <f t="shared" si="14"/>
        <v>0.54373153085832704</v>
      </c>
    </row>
    <row r="95" spans="1:7" ht="15.75">
      <c r="A95" s="23" t="str">
        <f>Break!A95</f>
        <v>Hyd_Rajshree Dhabekar (1008605)</v>
      </c>
      <c r="B95" s="24" t="s">
        <v>1098</v>
      </c>
      <c r="C95" s="27">
        <f t="shared" si="10"/>
        <v>0.34390046296296295</v>
      </c>
      <c r="D95" s="27" t="e">
        <f t="shared" si="11"/>
        <v>#VALUE!</v>
      </c>
      <c r="E95" s="27">
        <f t="shared" si="12"/>
        <v>0.34385416666666663</v>
      </c>
      <c r="F95" s="25">
        <f t="shared" si="13"/>
        <v>52</v>
      </c>
      <c r="G95" s="26">
        <f t="shared" si="14"/>
        <v>0</v>
      </c>
    </row>
    <row r="96" spans="1:7" ht="15.75">
      <c r="A96" s="23" t="str">
        <f>Break!A96</f>
        <v>Hyd_Rakhi Jodhani (1008606)</v>
      </c>
      <c r="B96" s="24" t="s">
        <v>1099</v>
      </c>
      <c r="C96" s="27">
        <f t="shared" si="10"/>
        <v>0.33532407407407411</v>
      </c>
      <c r="D96" s="27">
        <f t="shared" si="11"/>
        <v>5.0763888888888886E-2</v>
      </c>
      <c r="E96" s="27">
        <f t="shared" si="12"/>
        <v>0.27759259259259261</v>
      </c>
      <c r="F96" s="25">
        <f t="shared" si="13"/>
        <v>53</v>
      </c>
      <c r="G96" s="26">
        <f t="shared" si="14"/>
        <v>0.14431174927516199</v>
      </c>
    </row>
    <row r="97" spans="1:7" ht="15.75">
      <c r="A97" s="23" t="str">
        <f>Break!A97</f>
        <v>Hyd_Ramji Prasad (1008607)</v>
      </c>
      <c r="B97" s="24" t="s">
        <v>1100</v>
      </c>
      <c r="C97" s="27">
        <f t="shared" si="10"/>
        <v>0.34682870370370367</v>
      </c>
      <c r="D97" s="27">
        <f t="shared" si="11"/>
        <v>0.20351851851851852</v>
      </c>
      <c r="E97" s="27">
        <f t="shared" si="12"/>
        <v>5.122685185185185E-2</v>
      </c>
      <c r="F97" s="25">
        <f t="shared" si="13"/>
        <v>54</v>
      </c>
      <c r="G97" s="26">
        <f t="shared" si="14"/>
        <v>0.55259293866381898</v>
      </c>
    </row>
    <row r="98" spans="1:7" ht="15.75">
      <c r="A98" s="23" t="str">
        <f>Break!A98</f>
        <v>Del_Rashid (1008608)</v>
      </c>
      <c r="B98" s="24" t="s">
        <v>1101</v>
      </c>
      <c r="C98" s="27">
        <f t="shared" ref="C98:C129" si="15">TIMEVALUE(VLOOKUP(A98,EData,2,0))</f>
        <v>0.33483796296296298</v>
      </c>
      <c r="D98" s="27">
        <f t="shared" ref="D98:D129" si="16">TIMEVALUE(VLOOKUP(A98,EData,3,0))</f>
        <v>6.6759259259259254E-2</v>
      </c>
      <c r="E98" s="27">
        <f t="shared" ref="E98:E129" si="17">TIMEVALUE(VLOOKUP(A98,BData,9,0))</f>
        <v>0.23973379629629629</v>
      </c>
      <c r="F98" s="25">
        <f t="shared" ref="F98:F129" si="18">VLOOKUP(A98,PData,2,0)</f>
        <v>55</v>
      </c>
      <c r="G98" s="26">
        <f t="shared" ref="G98:G129" si="19">VLOOKUP(A98,EData,6,0)</f>
        <v>0.18938817836156199</v>
      </c>
    </row>
    <row r="99" spans="1:7" ht="15.75">
      <c r="A99" s="23" t="str">
        <f>Break!A99</f>
        <v>Del_Rashmi Gajbe (1008609)</v>
      </c>
      <c r="B99" s="24" t="s">
        <v>1102</v>
      </c>
      <c r="C99" s="27">
        <f t="shared" si="15"/>
        <v>0.34770833333333334</v>
      </c>
      <c r="D99" s="27">
        <f t="shared" si="16"/>
        <v>0.1784375</v>
      </c>
      <c r="E99" s="27">
        <f t="shared" si="17"/>
        <v>8.6782407407407405E-2</v>
      </c>
      <c r="F99" s="25">
        <f t="shared" si="18"/>
        <v>56</v>
      </c>
      <c r="G99" s="26">
        <f t="shared" si="19"/>
        <v>0.47077424938419499</v>
      </c>
    </row>
    <row r="100" spans="1:7" ht="15.75">
      <c r="A100" s="23" t="str">
        <f>Break!A100</f>
        <v>Del_Ravi Kumar (1008610)</v>
      </c>
      <c r="B100" s="24" t="s">
        <v>1103</v>
      </c>
      <c r="C100" s="27">
        <f t="shared" si="15"/>
        <v>0.33384259259259258</v>
      </c>
      <c r="D100" s="27">
        <f t="shared" si="16"/>
        <v>0.19934027777777777</v>
      </c>
      <c r="E100" s="27">
        <f t="shared" si="17"/>
        <v>4.9467592592592591E-2</v>
      </c>
      <c r="F100" s="25">
        <f t="shared" si="18"/>
        <v>57</v>
      </c>
      <c r="G100" s="26">
        <f t="shared" si="19"/>
        <v>0.53862155040909698</v>
      </c>
    </row>
    <row r="101" spans="1:7" ht="15.75">
      <c r="A101" s="23" t="str">
        <f>Break!A101</f>
        <v>Del_Ravinder Kaur (1008611)</v>
      </c>
      <c r="B101" s="24" t="s">
        <v>1104</v>
      </c>
      <c r="C101" s="27">
        <f t="shared" si="15"/>
        <v>0.3346412037037037</v>
      </c>
      <c r="D101" s="27">
        <f t="shared" si="16"/>
        <v>0.19371527777777778</v>
      </c>
      <c r="E101" s="27">
        <f t="shared" si="17"/>
        <v>4.8240740740740744E-2</v>
      </c>
      <c r="F101" s="25">
        <f t="shared" si="18"/>
        <v>58</v>
      </c>
      <c r="G101" s="26">
        <f t="shared" si="19"/>
        <v>0.53294365856189296</v>
      </c>
    </row>
    <row r="102" spans="1:7" ht="15.75">
      <c r="A102" s="23" t="str">
        <f>Break!A102</f>
        <v>Del_Rekha Agarwal (1008612)</v>
      </c>
      <c r="B102" s="24" t="s">
        <v>1105</v>
      </c>
      <c r="C102" s="27">
        <f t="shared" si="15"/>
        <v>0.24574074074074073</v>
      </c>
      <c r="D102" s="27">
        <f t="shared" si="16"/>
        <v>0.1202199074074074</v>
      </c>
      <c r="E102" s="27">
        <f t="shared" si="17"/>
        <v>0.11229166666666668</v>
      </c>
      <c r="F102" s="25">
        <f t="shared" si="18"/>
        <v>59</v>
      </c>
      <c r="G102" s="26">
        <f t="shared" si="19"/>
        <v>0.41310286360211002</v>
      </c>
    </row>
    <row r="103" spans="1:7" ht="15.75">
      <c r="A103" s="23" t="str">
        <f>Break!A103</f>
        <v>Del_Rekha Gupta (1008613)</v>
      </c>
      <c r="B103" s="24" t="s">
        <v>1106</v>
      </c>
      <c r="C103" s="27">
        <f t="shared" si="15"/>
        <v>0.34446759259259263</v>
      </c>
      <c r="D103" s="27">
        <f t="shared" si="16"/>
        <v>0.18254629629629629</v>
      </c>
      <c r="E103" s="27">
        <f t="shared" si="17"/>
        <v>7.6817129629629624E-2</v>
      </c>
      <c r="F103" s="25">
        <f t="shared" si="18"/>
        <v>60</v>
      </c>
      <c r="G103" s="26">
        <f t="shared" si="19"/>
        <v>0.50483838451717</v>
      </c>
    </row>
    <row r="104" spans="1:7" ht="15.75">
      <c r="A104" s="23" t="str">
        <f>Break!A104</f>
        <v>Del_Rekha Jain  (1008614)</v>
      </c>
      <c r="B104" s="24" t="s">
        <v>1107</v>
      </c>
      <c r="C104" s="27">
        <f t="shared" si="15"/>
        <v>0.34423611111111113</v>
      </c>
      <c r="D104" s="27">
        <f t="shared" si="16"/>
        <v>0.18436342592592592</v>
      </c>
      <c r="E104" s="27">
        <f t="shared" si="17"/>
        <v>6.732638888888888E-2</v>
      </c>
      <c r="F104" s="25">
        <f t="shared" si="18"/>
        <v>61</v>
      </c>
      <c r="G104" s="26">
        <f t="shared" si="19"/>
        <v>0.52390558805729304</v>
      </c>
    </row>
    <row r="105" spans="1:7" ht="15.75">
      <c r="A105" s="23" t="str">
        <f>Break!A105</f>
        <v>Del_Renu Pratap (1008615)</v>
      </c>
      <c r="B105" s="24" t="s">
        <v>1108</v>
      </c>
      <c r="C105" s="27">
        <f t="shared" si="15"/>
        <v>0.34479166666666666</v>
      </c>
      <c r="D105" s="27">
        <f t="shared" si="16"/>
        <v>0.10450231481481481</v>
      </c>
      <c r="E105" s="27">
        <f t="shared" si="17"/>
        <v>0.21383101851851852</v>
      </c>
      <c r="F105" s="25">
        <f t="shared" si="18"/>
        <v>62</v>
      </c>
      <c r="G105" s="26">
        <f t="shared" si="19"/>
        <v>0.25444780127559602</v>
      </c>
    </row>
    <row r="106" spans="1:7" ht="15.75">
      <c r="A106" s="23" t="str">
        <f>Break!A106</f>
        <v>Del_Ritu Bhatnagar (1008616)</v>
      </c>
      <c r="B106" s="24" t="s">
        <v>1109</v>
      </c>
      <c r="C106" s="27">
        <f t="shared" si="15"/>
        <v>0.33458333333333329</v>
      </c>
      <c r="D106" s="27">
        <f t="shared" si="16"/>
        <v>0.20292824074074076</v>
      </c>
      <c r="E106" s="27">
        <f t="shared" si="17"/>
        <v>5.092592592592593E-2</v>
      </c>
      <c r="F106" s="25">
        <f t="shared" si="18"/>
        <v>63</v>
      </c>
      <c r="G106" s="26">
        <f t="shared" si="19"/>
        <v>0.55517503805174995</v>
      </c>
    </row>
    <row r="107" spans="1:7" ht="15.75">
      <c r="A107" s="23" t="str">
        <f>Break!A107</f>
        <v>Del_Rohit Nishchal (1008617)</v>
      </c>
      <c r="B107" s="24" t="s">
        <v>1110</v>
      </c>
      <c r="C107" s="27">
        <f t="shared" si="15"/>
        <v>0.34524305555555551</v>
      </c>
      <c r="D107" s="27" t="e">
        <f t="shared" si="16"/>
        <v>#VALUE!</v>
      </c>
      <c r="E107" s="27">
        <f t="shared" si="17"/>
        <v>0.34513888888888888</v>
      </c>
      <c r="F107" s="25">
        <f t="shared" si="18"/>
        <v>64</v>
      </c>
      <c r="G107" s="26">
        <f t="shared" si="19"/>
        <v>0</v>
      </c>
    </row>
    <row r="108" spans="1:7" ht="15.75">
      <c r="A108" s="23" t="str">
        <f>Break!A108</f>
        <v>Del_Roli Bhatnagar (1008618)</v>
      </c>
      <c r="B108" s="24" t="s">
        <v>1111</v>
      </c>
      <c r="C108" s="27">
        <f t="shared" si="15"/>
        <v>0.34424768518518517</v>
      </c>
      <c r="D108" s="27">
        <f t="shared" si="16"/>
        <v>0.17256944444444444</v>
      </c>
      <c r="E108" s="27">
        <f t="shared" si="17"/>
        <v>9.0462962962962967E-2</v>
      </c>
      <c r="F108" s="25">
        <f t="shared" si="18"/>
        <v>65</v>
      </c>
      <c r="G108" s="26">
        <f t="shared" si="19"/>
        <v>0.477120667047709</v>
      </c>
    </row>
    <row r="109" spans="1:7" ht="15.75">
      <c r="A109" s="23" t="str">
        <f>Break!A109</f>
        <v>Del_Roma Rastogi (1008619)</v>
      </c>
      <c r="B109" s="24" t="s">
        <v>1112</v>
      </c>
      <c r="C109" s="27">
        <f t="shared" si="15"/>
        <v>0.35488425925925932</v>
      </c>
      <c r="D109" s="27">
        <f t="shared" si="16"/>
        <v>0.23307870370370373</v>
      </c>
      <c r="E109" s="27">
        <f t="shared" si="17"/>
        <v>3.7349537037037035E-2</v>
      </c>
      <c r="F109" s="25">
        <f t="shared" si="18"/>
        <v>66</v>
      </c>
      <c r="G109" s="26">
        <f t="shared" si="19"/>
        <v>0.61917030852521004</v>
      </c>
    </row>
    <row r="110" spans="1:7" ht="15.75">
      <c r="A110" s="23" t="str">
        <f>Break!A110</f>
        <v>Del_Roohi Haider (1008620)</v>
      </c>
      <c r="B110" s="24" t="s">
        <v>1113</v>
      </c>
      <c r="C110" s="27">
        <f t="shared" si="15"/>
        <v>0.33346064814814813</v>
      </c>
      <c r="D110" s="27">
        <f t="shared" si="16"/>
        <v>0.2029050925925926</v>
      </c>
      <c r="E110" s="27">
        <f t="shared" si="17"/>
        <v>4.8194444444444449E-2</v>
      </c>
      <c r="F110" s="25">
        <f t="shared" si="18"/>
        <v>67</v>
      </c>
      <c r="G110" s="26">
        <f t="shared" si="19"/>
        <v>0.55305265350039901</v>
      </c>
    </row>
    <row r="111" spans="1:7" ht="15.75">
      <c r="A111" s="23" t="str">
        <f>Break!A111</f>
        <v>Del_Sajid Naqvi (1008621)</v>
      </c>
      <c r="B111" s="24" t="s">
        <v>1114</v>
      </c>
      <c r="C111" s="27">
        <f t="shared" si="15"/>
        <v>0.34430555555555559</v>
      </c>
      <c r="D111" s="27">
        <f t="shared" si="16"/>
        <v>0.20876157407407406</v>
      </c>
      <c r="E111" s="27">
        <f t="shared" si="17"/>
        <v>4.7685185185185185E-2</v>
      </c>
      <c r="F111" s="25">
        <f t="shared" si="18"/>
        <v>68</v>
      </c>
      <c r="G111" s="26">
        <f t="shared" si="19"/>
        <v>0.56195374478956595</v>
      </c>
    </row>
    <row r="112" spans="1:7" ht="15.75">
      <c r="A112" s="23" t="str">
        <f>Break!A112</f>
        <v>Del_Salim (1008622)</v>
      </c>
      <c r="B112" s="24" t="s">
        <v>1115</v>
      </c>
      <c r="C112" s="27">
        <f t="shared" si="15"/>
        <v>0.34439814814814818</v>
      </c>
      <c r="D112" s="27">
        <f t="shared" si="16"/>
        <v>0.19284722222222225</v>
      </c>
      <c r="E112" s="27">
        <f t="shared" si="17"/>
        <v>8.2974537037037041E-2</v>
      </c>
      <c r="F112" s="25">
        <f t="shared" si="18"/>
        <v>69</v>
      </c>
      <c r="G112" s="26">
        <f t="shared" si="19"/>
        <v>0.48780077967468699</v>
      </c>
    </row>
    <row r="113" spans="1:7" ht="15.75">
      <c r="A113" s="23" t="str">
        <f>Break!A113</f>
        <v>Del_Sanjay Hire (1008623)</v>
      </c>
      <c r="B113" s="24" t="s">
        <v>1116</v>
      </c>
      <c r="C113" s="27">
        <f t="shared" si="15"/>
        <v>0.34435185185185185</v>
      </c>
      <c r="D113" s="27">
        <f t="shared" si="16"/>
        <v>0.20849537037037036</v>
      </c>
      <c r="E113" s="27">
        <f t="shared" si="17"/>
        <v>4.8414351851851854E-2</v>
      </c>
      <c r="F113" s="25">
        <f t="shared" si="18"/>
        <v>70</v>
      </c>
      <c r="G113" s="26">
        <f t="shared" si="19"/>
        <v>0.55414762032804499</v>
      </c>
    </row>
    <row r="114" spans="1:7" ht="15.75">
      <c r="A114" s="23" t="str">
        <f>Break!A114</f>
        <v>Del_Sanjiv Subherwal (1008624)</v>
      </c>
      <c r="B114" s="24" t="s">
        <v>1117</v>
      </c>
      <c r="C114" s="27">
        <f t="shared" si="15"/>
        <v>0.33491898148148147</v>
      </c>
      <c r="D114" s="27">
        <f t="shared" si="16"/>
        <v>0.21258101851851852</v>
      </c>
      <c r="E114" s="27">
        <f t="shared" si="17"/>
        <v>4.8784722222222222E-2</v>
      </c>
      <c r="F114" s="25">
        <f t="shared" si="18"/>
        <v>71</v>
      </c>
      <c r="G114" s="26">
        <f t="shared" si="19"/>
        <v>0.58651553374572396</v>
      </c>
    </row>
    <row r="115" spans="1:7" ht="15.75">
      <c r="A115" s="23" t="str">
        <f>Break!A115</f>
        <v>Del_Sanju Ramdas (1008625)</v>
      </c>
      <c r="B115" s="24" t="s">
        <v>1118</v>
      </c>
      <c r="C115" s="27">
        <f t="shared" si="15"/>
        <v>0.34442129629629631</v>
      </c>
      <c r="D115" s="27">
        <f t="shared" si="16"/>
        <v>0.22203703703703703</v>
      </c>
      <c r="E115" s="27">
        <f t="shared" si="17"/>
        <v>5.1342592592592586E-2</v>
      </c>
      <c r="F115" s="25">
        <f t="shared" si="18"/>
        <v>72</v>
      </c>
      <c r="G115" s="26">
        <f t="shared" si="19"/>
        <v>0.58165871362322696</v>
      </c>
    </row>
    <row r="116" spans="1:7" ht="15.75">
      <c r="A116" s="23" t="str">
        <f>Break!A116</f>
        <v>Del_Santosh Kumar (1008626)</v>
      </c>
      <c r="B116" s="24" t="s">
        <v>1007</v>
      </c>
      <c r="C116" s="27">
        <f t="shared" si="15"/>
        <v>0.33370370370370367</v>
      </c>
      <c r="D116" s="27">
        <f t="shared" si="16"/>
        <v>0.21053240740740742</v>
      </c>
      <c r="E116" s="27">
        <f t="shared" si="17"/>
        <v>4.8472222222222222E-2</v>
      </c>
      <c r="F116" s="25">
        <f t="shared" si="18"/>
        <v>73</v>
      </c>
      <c r="G116" s="26">
        <f t="shared" si="19"/>
        <v>0.59073251942286398</v>
      </c>
    </row>
    <row r="117" spans="1:7" ht="15.75">
      <c r="A117" s="23" t="str">
        <f>Break!A117</f>
        <v>Del_Santosh Kumar (1008627)</v>
      </c>
      <c r="B117" s="24" t="s">
        <v>1007</v>
      </c>
      <c r="C117" s="27">
        <f t="shared" si="15"/>
        <v>0.34518518518518521</v>
      </c>
      <c r="D117" s="27">
        <f t="shared" si="16"/>
        <v>0.21524305555555556</v>
      </c>
      <c r="E117" s="27">
        <f t="shared" si="17"/>
        <v>4.9282407407407407E-2</v>
      </c>
      <c r="F117" s="25">
        <f t="shared" si="18"/>
        <v>74</v>
      </c>
      <c r="G117" s="26">
        <f t="shared" si="19"/>
        <v>0.58640692060085797</v>
      </c>
    </row>
    <row r="118" spans="1:7" ht="15.75">
      <c r="A118" s="23" t="str">
        <f>Break!A118</f>
        <v>Del_Santosh Kumar (1008628)</v>
      </c>
      <c r="B118" s="24" t="s">
        <v>1007</v>
      </c>
      <c r="C118" s="27">
        <f t="shared" si="15"/>
        <v>0.3354050925925926</v>
      </c>
      <c r="D118" s="27">
        <f t="shared" si="16"/>
        <v>0.19744212962962962</v>
      </c>
      <c r="E118" s="27">
        <f t="shared" si="17"/>
        <v>5.0011574074074076E-2</v>
      </c>
      <c r="F118" s="25">
        <f t="shared" si="18"/>
        <v>75</v>
      </c>
      <c r="G118" s="26">
        <f t="shared" si="19"/>
        <v>0.54653369681493502</v>
      </c>
    </row>
    <row r="119" spans="1:7" ht="15.75">
      <c r="A119" s="23" t="str">
        <f>Break!A119</f>
        <v>Del_Sapna Sharma (1008629)</v>
      </c>
      <c r="B119" s="24" t="s">
        <v>1119</v>
      </c>
      <c r="C119" s="27">
        <f t="shared" si="15"/>
        <v>0.33627314814814818</v>
      </c>
      <c r="D119" s="27">
        <f t="shared" si="16"/>
        <v>0.18991898148148148</v>
      </c>
      <c r="E119" s="27">
        <f t="shared" si="17"/>
        <v>6.4317129629629641E-2</v>
      </c>
      <c r="F119" s="25">
        <f t="shared" si="18"/>
        <v>76</v>
      </c>
      <c r="G119" s="26">
        <f t="shared" si="19"/>
        <v>0.53238796723342696</v>
      </c>
    </row>
    <row r="120" spans="1:7" ht="15.75">
      <c r="A120" s="23" t="str">
        <f>Break!A120</f>
        <v>Del_Saroj Parita (1008630)</v>
      </c>
      <c r="B120" s="24" t="s">
        <v>1120</v>
      </c>
      <c r="C120" s="27">
        <f t="shared" si="15"/>
        <v>0.33471064814814816</v>
      </c>
      <c r="D120" s="27">
        <f t="shared" si="16"/>
        <v>0.18868055555555555</v>
      </c>
      <c r="E120" s="27">
        <f t="shared" si="17"/>
        <v>7.3344907407407414E-2</v>
      </c>
      <c r="F120" s="25">
        <f t="shared" si="18"/>
        <v>77</v>
      </c>
      <c r="G120" s="26">
        <f t="shared" si="19"/>
        <v>0.47020989660776702</v>
      </c>
    </row>
    <row r="121" spans="1:7" ht="15.75">
      <c r="A121" s="23" t="str">
        <f>Break!A121</f>
        <v>Del_Shailaja Kamal (1008631)</v>
      </c>
      <c r="B121" s="24" t="s">
        <v>1121</v>
      </c>
      <c r="C121" s="27">
        <f t="shared" si="15"/>
        <v>0.33974537037037034</v>
      </c>
      <c r="D121" s="27">
        <f t="shared" si="16"/>
        <v>0.20261574074074074</v>
      </c>
      <c r="E121" s="27">
        <f t="shared" si="17"/>
        <v>4.7754629629629626E-2</v>
      </c>
      <c r="F121" s="25">
        <f t="shared" si="18"/>
        <v>78</v>
      </c>
      <c r="G121" s="26">
        <f t="shared" si="19"/>
        <v>0.54633099407235797</v>
      </c>
    </row>
    <row r="122" spans="1:7" ht="15.75">
      <c r="A122" s="23" t="str">
        <f>Break!A122</f>
        <v>Del_Shailendra Barge (1008632)</v>
      </c>
      <c r="B122" s="24" t="s">
        <v>1122</v>
      </c>
      <c r="C122" s="27">
        <f t="shared" si="15"/>
        <v>0.34557870370370369</v>
      </c>
      <c r="D122" s="27">
        <f t="shared" si="16"/>
        <v>0.1431597222222222</v>
      </c>
      <c r="E122" s="27">
        <f t="shared" si="17"/>
        <v>0.15493055555555554</v>
      </c>
      <c r="F122" s="25">
        <f t="shared" si="18"/>
        <v>79</v>
      </c>
      <c r="G122" s="26">
        <f t="shared" si="19"/>
        <v>0.38820416638756799</v>
      </c>
    </row>
    <row r="123" spans="1:7" ht="15.75">
      <c r="A123" s="23" t="str">
        <f>Break!A123</f>
        <v>Del_Shankar Attendant (1008633)</v>
      </c>
      <c r="B123" s="24" t="s">
        <v>1123</v>
      </c>
      <c r="C123" s="27">
        <f t="shared" si="15"/>
        <v>0.33189814814814816</v>
      </c>
      <c r="D123" s="27">
        <f t="shared" si="16"/>
        <v>0.1439236111111111</v>
      </c>
      <c r="E123" s="27">
        <f t="shared" si="17"/>
        <v>0.13547453703703705</v>
      </c>
      <c r="F123" s="25">
        <f t="shared" si="18"/>
        <v>80</v>
      </c>
      <c r="G123" s="26">
        <f t="shared" si="19"/>
        <v>0.40277584042404802</v>
      </c>
    </row>
    <row r="124" spans="1:7" ht="15.75">
      <c r="A124" s="23" t="str">
        <f>Break!A124</f>
        <v>Del_Shashikant Tiwari (1008634)</v>
      </c>
      <c r="B124" s="24" t="s">
        <v>1124</v>
      </c>
      <c r="C124" s="27">
        <f t="shared" si="15"/>
        <v>0.34369212962962964</v>
      </c>
      <c r="D124" s="27">
        <f t="shared" si="16"/>
        <v>0.22164351851851852</v>
      </c>
      <c r="E124" s="27">
        <f t="shared" si="17"/>
        <v>4.8599537037037038E-2</v>
      </c>
      <c r="F124" s="25">
        <f t="shared" si="18"/>
        <v>81</v>
      </c>
      <c r="G124" s="26">
        <f t="shared" si="19"/>
        <v>0.54352584610203702</v>
      </c>
    </row>
    <row r="125" spans="1:7" ht="15.75">
      <c r="A125" s="23" t="str">
        <f>Break!A125</f>
        <v>Del_Sheeba Joseph (1008635)</v>
      </c>
      <c r="B125" s="24" t="s">
        <v>1125</v>
      </c>
      <c r="C125" s="27">
        <f t="shared" si="15"/>
        <v>0.3548263888888889</v>
      </c>
      <c r="D125" s="27">
        <f t="shared" si="16"/>
        <v>0.15355324074074075</v>
      </c>
      <c r="E125" s="27">
        <f t="shared" si="17"/>
        <v>3.8645833333333331E-2</v>
      </c>
      <c r="F125" s="25">
        <f t="shared" si="18"/>
        <v>82</v>
      </c>
      <c r="G125" s="26">
        <f t="shared" si="19"/>
        <v>0.28371986821932998</v>
      </c>
    </row>
    <row r="126" spans="1:7" ht="15.75">
      <c r="A126" s="23" t="str">
        <f>Break!A126</f>
        <v>Del_Sheena Joseph (1008636)</v>
      </c>
      <c r="B126" s="24" t="s">
        <v>1126</v>
      </c>
      <c r="C126" s="27">
        <f t="shared" si="15"/>
        <v>0.36775462962962963</v>
      </c>
      <c r="D126" s="27">
        <f t="shared" si="16"/>
        <v>0.21557870370370369</v>
      </c>
      <c r="E126" s="27">
        <f t="shared" si="17"/>
        <v>7.048611111111111E-2</v>
      </c>
      <c r="F126" s="25">
        <f t="shared" si="18"/>
        <v>83</v>
      </c>
      <c r="G126" s="26">
        <f t="shared" si="19"/>
        <v>0.56196890539434796</v>
      </c>
    </row>
    <row r="127" spans="1:7" ht="15.75">
      <c r="A127" s="23" t="str">
        <f>Break!A127</f>
        <v>Del_Shephali Jain (1008637)</v>
      </c>
      <c r="B127" s="24" t="s">
        <v>1127</v>
      </c>
      <c r="C127" s="27">
        <f t="shared" si="15"/>
        <v>0.35119212962962965</v>
      </c>
      <c r="D127" s="27">
        <f t="shared" si="16"/>
        <v>0.15380787037037039</v>
      </c>
      <c r="E127" s="27">
        <f t="shared" si="17"/>
        <v>0.14153935185185185</v>
      </c>
      <c r="F127" s="25">
        <f t="shared" si="18"/>
        <v>84</v>
      </c>
      <c r="G127" s="26">
        <f t="shared" si="19"/>
        <v>0.40332201825791802</v>
      </c>
    </row>
    <row r="128" spans="1:7" ht="15.75">
      <c r="A128" s="23" t="str">
        <f>Break!A128</f>
        <v>Del_Shivji Prasad (1008638)</v>
      </c>
      <c r="B128" s="24" t="s">
        <v>1128</v>
      </c>
      <c r="C128" s="27">
        <f t="shared" si="15"/>
        <v>0.34143518518518517</v>
      </c>
      <c r="D128" s="27">
        <f t="shared" si="16"/>
        <v>0.17545138888888889</v>
      </c>
      <c r="E128" s="27">
        <f t="shared" si="17"/>
        <v>9.5694444444444457E-2</v>
      </c>
      <c r="F128" s="25">
        <f t="shared" si="18"/>
        <v>85</v>
      </c>
      <c r="G128" s="26">
        <f t="shared" si="19"/>
        <v>0.43796610169491501</v>
      </c>
    </row>
    <row r="129" spans="1:7" ht="15.75">
      <c r="A129" s="23" t="str">
        <f>Break!A129</f>
        <v>Del_Shubhanjali Joshi (1008639)</v>
      </c>
      <c r="B129" s="24" t="s">
        <v>1129</v>
      </c>
      <c r="C129" s="27">
        <f t="shared" si="15"/>
        <v>0.34533564814814816</v>
      </c>
      <c r="D129" s="27">
        <f t="shared" si="16"/>
        <v>0.20476851851851852</v>
      </c>
      <c r="E129" s="27">
        <f t="shared" si="17"/>
        <v>5.5231481481481486E-2</v>
      </c>
      <c r="F129" s="25">
        <f t="shared" si="18"/>
        <v>86</v>
      </c>
      <c r="G129" s="26">
        <f t="shared" si="19"/>
        <v>0.55581995508931903</v>
      </c>
    </row>
    <row r="130" spans="1:7" ht="15.75">
      <c r="A130" s="23" t="str">
        <f>Break!A130</f>
        <v>Del_Shyamal Malakar (1008640)</v>
      </c>
      <c r="B130" s="24" t="s">
        <v>1130</v>
      </c>
      <c r="C130" s="27">
        <f t="shared" ref="C130:C150" si="20">TIMEVALUE(VLOOKUP(A130,EData,2,0))</f>
        <v>0.34416666666666668</v>
      </c>
      <c r="D130" s="27">
        <f t="shared" ref="D130:D150" si="21">TIMEVALUE(VLOOKUP(A130,EData,3,0))</f>
        <v>0.12054398148148149</v>
      </c>
      <c r="E130" s="27">
        <f t="shared" ref="E130:E150" si="22">TIMEVALUE(VLOOKUP(A130,BData,9,0))</f>
        <v>0.19140046296296295</v>
      </c>
      <c r="F130" s="25">
        <f t="shared" ref="F130:F150" si="23">VLOOKUP(A130,PData,2,0)</f>
        <v>87</v>
      </c>
      <c r="G130" s="26">
        <f t="shared" ref="G130:G150" si="24">VLOOKUP(A130,EData,6,0)</f>
        <v>0.326035781544256</v>
      </c>
    </row>
    <row r="131" spans="1:7" ht="15.75">
      <c r="A131" s="23" t="str">
        <f>Break!A131</f>
        <v>Del_Sneh Khan (1008641)</v>
      </c>
      <c r="B131" s="24" t="s">
        <v>1131</v>
      </c>
      <c r="C131" s="27">
        <f t="shared" si="20"/>
        <v>0.33975694444444443</v>
      </c>
      <c r="D131" s="27">
        <f t="shared" si="21"/>
        <v>0.21278935185185185</v>
      </c>
      <c r="E131" s="27">
        <f t="shared" si="22"/>
        <v>4.8506944444444443E-2</v>
      </c>
      <c r="F131" s="25">
        <f t="shared" si="23"/>
        <v>88</v>
      </c>
      <c r="G131" s="26">
        <f t="shared" si="24"/>
        <v>0.57404190086867701</v>
      </c>
    </row>
    <row r="132" spans="1:7" ht="15.75">
      <c r="A132" s="23" t="str">
        <f>Break!A132</f>
        <v>Del_Sonaram Munda (1008642)</v>
      </c>
      <c r="B132" s="24" t="s">
        <v>1132</v>
      </c>
      <c r="C132" s="27">
        <f t="shared" si="20"/>
        <v>0.33380787037037035</v>
      </c>
      <c r="D132" s="27">
        <f t="shared" si="21"/>
        <v>0.1744212962962963</v>
      </c>
      <c r="E132" s="27">
        <f t="shared" si="22"/>
        <v>8.1423611111111113E-2</v>
      </c>
      <c r="F132" s="25">
        <f t="shared" si="23"/>
        <v>89</v>
      </c>
      <c r="G132" s="26">
        <f t="shared" si="24"/>
        <v>0.45359037481363301</v>
      </c>
    </row>
    <row r="133" spans="1:7" ht="15.75">
      <c r="A133" s="23" t="str">
        <f>Break!A133</f>
        <v>Del_Sudama Kumar (1008643)</v>
      </c>
      <c r="B133" s="24" t="s">
        <v>1133</v>
      </c>
      <c r="C133" s="27">
        <f t="shared" si="20"/>
        <v>0.34012731481481479</v>
      </c>
      <c r="D133" s="27">
        <f t="shared" si="21"/>
        <v>0.11028935185185185</v>
      </c>
      <c r="E133" s="27">
        <f t="shared" si="22"/>
        <v>0.19189814814814818</v>
      </c>
      <c r="F133" s="25">
        <f t="shared" si="23"/>
        <v>90</v>
      </c>
      <c r="G133" s="26">
        <f t="shared" si="24"/>
        <v>0.29689998979140397</v>
      </c>
    </row>
    <row r="134" spans="1:7" ht="15.75">
      <c r="A134" s="23" t="str">
        <f>Break!A134</f>
        <v>Del_Sudhir Kumar (1008644)</v>
      </c>
      <c r="B134" s="24" t="s">
        <v>1134</v>
      </c>
      <c r="C134" s="27">
        <f t="shared" si="20"/>
        <v>0.33354166666666668</v>
      </c>
      <c r="D134" s="27">
        <f t="shared" si="21"/>
        <v>0.19138888888888891</v>
      </c>
      <c r="E134" s="27">
        <f t="shared" si="22"/>
        <v>5.1666666666666666E-2</v>
      </c>
      <c r="F134" s="25">
        <f t="shared" si="23"/>
        <v>91</v>
      </c>
      <c r="G134" s="26">
        <f t="shared" si="24"/>
        <v>0.55729058227496697</v>
      </c>
    </row>
    <row r="135" spans="1:7" ht="15.75">
      <c r="A135" s="23" t="str">
        <f>Break!A135</f>
        <v>Del_Sunil Kumar (1008645)</v>
      </c>
      <c r="B135" s="24" t="s">
        <v>1008</v>
      </c>
      <c r="C135" s="27">
        <f t="shared" si="20"/>
        <v>0.3357175925925926</v>
      </c>
      <c r="D135" s="27">
        <f t="shared" si="21"/>
        <v>0.12403935185185185</v>
      </c>
      <c r="E135" s="27">
        <f t="shared" si="22"/>
        <v>0.1645486111111111</v>
      </c>
      <c r="F135" s="25">
        <f t="shared" si="23"/>
        <v>92</v>
      </c>
      <c r="G135" s="26">
        <f t="shared" si="24"/>
        <v>0.33279321519685601</v>
      </c>
    </row>
    <row r="136" spans="1:7" ht="15.75">
      <c r="A136" s="23" t="str">
        <f>Break!A136</f>
        <v>Del_Sunil Kumar (1008646)</v>
      </c>
      <c r="B136" s="24" t="s">
        <v>1008</v>
      </c>
      <c r="C136" s="27">
        <f t="shared" si="20"/>
        <v>0.33687500000000004</v>
      </c>
      <c r="D136" s="27">
        <f t="shared" si="21"/>
        <v>0.17017361111111109</v>
      </c>
      <c r="E136" s="27">
        <f t="shared" si="22"/>
        <v>9.5034722222222215E-2</v>
      </c>
      <c r="F136" s="25">
        <f t="shared" si="23"/>
        <v>93</v>
      </c>
      <c r="G136" s="26">
        <f t="shared" si="24"/>
        <v>0.472308115165258</v>
      </c>
    </row>
    <row r="137" spans="1:7" ht="15.75">
      <c r="A137" s="23" t="str">
        <f>Break!A137</f>
        <v>Del_Sunita Chawla (1008647)</v>
      </c>
      <c r="B137" s="24" t="s">
        <v>1135</v>
      </c>
      <c r="C137" s="27">
        <f t="shared" si="20"/>
        <v>0.33709490740740744</v>
      </c>
      <c r="D137" s="27">
        <f t="shared" si="21"/>
        <v>0.18885416666666666</v>
      </c>
      <c r="E137" s="27">
        <f t="shared" si="22"/>
        <v>8.7997685185185193E-2</v>
      </c>
      <c r="F137" s="25">
        <f t="shared" si="23"/>
        <v>94</v>
      </c>
      <c r="G137" s="26">
        <f t="shared" si="24"/>
        <v>0.51110729613733896</v>
      </c>
    </row>
    <row r="138" spans="1:7" ht="15.75">
      <c r="A138" s="23" t="str">
        <f>Break!A138</f>
        <v>Del_Sunita Madnani (1008648)</v>
      </c>
      <c r="B138" s="24" t="s">
        <v>1136</v>
      </c>
      <c r="C138" s="27">
        <f t="shared" si="20"/>
        <v>0.34307870370370369</v>
      </c>
      <c r="D138" s="27">
        <f t="shared" si="21"/>
        <v>0.22166666666666668</v>
      </c>
      <c r="E138" s="27">
        <f t="shared" si="22"/>
        <v>4.7395833333333331E-2</v>
      </c>
      <c r="F138" s="25">
        <f t="shared" si="23"/>
        <v>95</v>
      </c>
      <c r="G138" s="26">
        <f t="shared" si="24"/>
        <v>0.58886040078267299</v>
      </c>
    </row>
    <row r="139" spans="1:7" ht="15.75">
      <c r="A139" s="23" t="str">
        <f>Break!A139</f>
        <v>Del_Surendra Kumar (1008649)</v>
      </c>
      <c r="B139" s="24" t="s">
        <v>1137</v>
      </c>
      <c r="C139" s="27">
        <f t="shared" si="20"/>
        <v>0.31192129629629628</v>
      </c>
      <c r="D139" s="27">
        <f t="shared" si="21"/>
        <v>0.12112268518518519</v>
      </c>
      <c r="E139" s="27">
        <f t="shared" si="22"/>
        <v>0.1575462962962963</v>
      </c>
      <c r="F139" s="25">
        <f t="shared" si="23"/>
        <v>96</v>
      </c>
      <c r="G139" s="26">
        <f t="shared" si="24"/>
        <v>0.34289424860853401</v>
      </c>
    </row>
    <row r="140" spans="1:7" ht="15.75">
      <c r="A140" s="23" t="str">
        <f>Break!A140</f>
        <v>Del_Surendranath Thakur (1008650)</v>
      </c>
      <c r="B140" s="24" t="s">
        <v>1138</v>
      </c>
      <c r="C140" s="27">
        <f t="shared" si="20"/>
        <v>0.35686342592592596</v>
      </c>
      <c r="D140" s="27">
        <f t="shared" si="21"/>
        <v>0.19224537037037037</v>
      </c>
      <c r="E140" s="27">
        <f t="shared" si="22"/>
        <v>9.5196759259259259E-2</v>
      </c>
      <c r="F140" s="25">
        <f t="shared" si="23"/>
        <v>97</v>
      </c>
      <c r="G140" s="26">
        <f t="shared" si="24"/>
        <v>0.497486459313074</v>
      </c>
    </row>
    <row r="141" spans="1:7" ht="15.75">
      <c r="A141" s="23" t="str">
        <f>Break!A141</f>
        <v>Del_Sushma Khandelwal (1008651)</v>
      </c>
      <c r="B141" s="24" t="s">
        <v>1139</v>
      </c>
      <c r="C141" s="27">
        <f t="shared" si="20"/>
        <v>0.34392361111111108</v>
      </c>
      <c r="D141" s="27">
        <f t="shared" si="21"/>
        <v>0.20146990740740742</v>
      </c>
      <c r="E141" s="27">
        <f t="shared" si="22"/>
        <v>4.8854166666666664E-2</v>
      </c>
      <c r="F141" s="25">
        <f t="shared" si="23"/>
        <v>98</v>
      </c>
      <c r="G141" s="26">
        <f t="shared" si="24"/>
        <v>0.52431431936732298</v>
      </c>
    </row>
    <row r="142" spans="1:7" ht="15.75">
      <c r="A142" s="23" t="str">
        <f>Break!A142</f>
        <v>Del_Swarnlata Borse (1008652)</v>
      </c>
      <c r="B142" s="24" t="s">
        <v>1140</v>
      </c>
      <c r="C142" s="27">
        <f t="shared" si="20"/>
        <v>0.34658564814814818</v>
      </c>
      <c r="D142" s="27">
        <f t="shared" si="21"/>
        <v>0.12475694444444445</v>
      </c>
      <c r="E142" s="27">
        <f t="shared" si="22"/>
        <v>0.18931712962962963</v>
      </c>
      <c r="F142" s="25">
        <f t="shared" si="23"/>
        <v>99</v>
      </c>
      <c r="G142" s="26">
        <f t="shared" si="24"/>
        <v>0.31066956086157999</v>
      </c>
    </row>
    <row r="143" spans="1:7" ht="15.75">
      <c r="A143" s="23" t="str">
        <f>Break!A143</f>
        <v>Del_Syed Naved (1008653)</v>
      </c>
      <c r="B143" s="24" t="s">
        <v>1141</v>
      </c>
      <c r="C143" s="27">
        <f t="shared" si="20"/>
        <v>0.34281249999999996</v>
      </c>
      <c r="D143" s="27">
        <f t="shared" si="21"/>
        <v>0.22505787037037037</v>
      </c>
      <c r="E143" s="27">
        <f t="shared" si="22"/>
        <v>5.1898148148148145E-2</v>
      </c>
      <c r="F143" s="25">
        <f t="shared" si="23"/>
        <v>100</v>
      </c>
      <c r="G143" s="26">
        <f t="shared" si="24"/>
        <v>0.58462473412336702</v>
      </c>
    </row>
    <row r="144" spans="1:7" ht="15.75">
      <c r="A144" s="23" t="str">
        <f>Break!A144</f>
        <v>Del_Syed Saqib (1008654)</v>
      </c>
      <c r="B144" s="24" t="s">
        <v>1142</v>
      </c>
      <c r="C144" s="27">
        <f t="shared" si="20"/>
        <v>0.35055555555555556</v>
      </c>
      <c r="D144" s="27">
        <f t="shared" si="21"/>
        <v>0.11953703703703704</v>
      </c>
      <c r="E144" s="27">
        <f t="shared" si="22"/>
        <v>0.21081018518518521</v>
      </c>
      <c r="F144" s="25">
        <f t="shared" si="23"/>
        <v>101</v>
      </c>
      <c r="G144" s="26">
        <f t="shared" si="24"/>
        <v>0.31685816164817698</v>
      </c>
    </row>
    <row r="145" spans="1:7" ht="15.75">
      <c r="A145" s="23" t="str">
        <f>Break!A145</f>
        <v>Del_Syed Sohail (1008655)</v>
      </c>
      <c r="B145" s="24" t="s">
        <v>1143</v>
      </c>
      <c r="C145" s="27">
        <f t="shared" si="20"/>
        <v>0.34575231481481478</v>
      </c>
      <c r="D145" s="27">
        <f t="shared" si="21"/>
        <v>0.20268518518518519</v>
      </c>
      <c r="E145" s="27">
        <f t="shared" si="22"/>
        <v>5.004629629629629E-2</v>
      </c>
      <c r="F145" s="25">
        <f t="shared" si="23"/>
        <v>102</v>
      </c>
      <c r="G145" s="26">
        <f t="shared" si="24"/>
        <v>0.56375322197301903</v>
      </c>
    </row>
    <row r="146" spans="1:7" ht="15.75">
      <c r="A146" s="23" t="str">
        <f>Break!A146</f>
        <v>Del_System Operator (1008656)</v>
      </c>
      <c r="B146" s="24" t="s">
        <v>1144</v>
      </c>
      <c r="C146" s="27">
        <f t="shared" si="20"/>
        <v>0.35479166666666667</v>
      </c>
      <c r="D146" s="27">
        <f t="shared" si="21"/>
        <v>0.21916666666666665</v>
      </c>
      <c r="E146" s="27">
        <f t="shared" si="22"/>
        <v>3.8946759259259257E-2</v>
      </c>
      <c r="F146" s="25">
        <f t="shared" si="23"/>
        <v>103</v>
      </c>
      <c r="G146" s="26">
        <f t="shared" si="24"/>
        <v>0.54779147908918902</v>
      </c>
    </row>
    <row r="147" spans="1:7" ht="15.75">
      <c r="A147" s="23" t="str">
        <f>Break!A147</f>
        <v>Del_Tahira Qureshi (1008657)</v>
      </c>
      <c r="B147" s="24" t="s">
        <v>1145</v>
      </c>
      <c r="C147" s="27">
        <f t="shared" si="20"/>
        <v>0.36542824074074076</v>
      </c>
      <c r="D147" s="27">
        <f t="shared" si="21"/>
        <v>0.15059027777777778</v>
      </c>
      <c r="E147" s="27">
        <f t="shared" si="22"/>
        <v>0.16840277777777779</v>
      </c>
      <c r="F147" s="25">
        <f t="shared" si="23"/>
        <v>104</v>
      </c>
      <c r="G147" s="26">
        <f t="shared" si="24"/>
        <v>0.37965983593576802</v>
      </c>
    </row>
    <row r="148" spans="1:7" ht="15.75">
      <c r="A148" s="23" t="str">
        <f>Break!A148</f>
        <v>Del_Tapas Chakraborty (1008658)</v>
      </c>
      <c r="B148" s="24" t="s">
        <v>1146</v>
      </c>
      <c r="C148" s="27">
        <f t="shared" si="20"/>
        <v>0.34370370370370368</v>
      </c>
      <c r="D148" s="27">
        <f t="shared" si="21"/>
        <v>0.21891203703703702</v>
      </c>
      <c r="E148" s="27">
        <f t="shared" si="22"/>
        <v>5.0127314814814812E-2</v>
      </c>
      <c r="F148" s="25">
        <f t="shared" si="23"/>
        <v>105</v>
      </c>
      <c r="G148" s="26">
        <f t="shared" si="24"/>
        <v>0.56529498922413801</v>
      </c>
    </row>
    <row r="149" spans="1:7" ht="15.75">
      <c r="A149" s="23" t="str">
        <f>Break!A149</f>
        <v>Del_Tariq Akhlaq (1008659)</v>
      </c>
      <c r="B149" s="24" t="s">
        <v>1147</v>
      </c>
      <c r="C149" s="27">
        <f t="shared" si="20"/>
        <v>0.20827546296296295</v>
      </c>
      <c r="D149" s="27">
        <f t="shared" si="21"/>
        <v>0.1310300925925926</v>
      </c>
      <c r="E149" s="27">
        <f t="shared" si="22"/>
        <v>1.045138888888889E-2</v>
      </c>
      <c r="F149" s="25">
        <f t="shared" si="23"/>
        <v>106</v>
      </c>
      <c r="G149" s="26">
        <f t="shared" si="24"/>
        <v>0.60261183662128404</v>
      </c>
    </row>
    <row r="150" spans="1:7" ht="15.75">
      <c r="A150" s="23" t="str">
        <f>Break!A150</f>
        <v>Del_Tasneem Khan (1008660)</v>
      </c>
      <c r="B150" s="24" t="s">
        <v>1148</v>
      </c>
      <c r="C150" s="27">
        <f t="shared" si="20"/>
        <v>0.35688657407407409</v>
      </c>
      <c r="D150" s="27">
        <f t="shared" si="21"/>
        <v>0.19362268518518519</v>
      </c>
      <c r="E150" s="27">
        <f t="shared" si="22"/>
        <v>9.5034722222222215E-2</v>
      </c>
      <c r="F150" s="25">
        <f t="shared" si="23"/>
        <v>107</v>
      </c>
      <c r="G150" s="26">
        <f t="shared" si="24"/>
        <v>0.49813523593319298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9B37-228D-4BF1-A114-D0CF4D68563C}">
  <sheetPr codeName="Sheet5"/>
  <dimension ref="A1:E9"/>
  <sheetViews>
    <sheetView tabSelected="1" zoomScale="160" zoomScaleNormal="160" workbookViewId="0">
      <selection activeCell="H11" sqref="H11"/>
    </sheetView>
  </sheetViews>
  <sheetFormatPr defaultRowHeight="15"/>
  <cols>
    <col min="1" max="1" width="13.28515625" bestFit="1" customWidth="1"/>
    <col min="2" max="2" width="31.85546875" bestFit="1" customWidth="1"/>
    <col min="3" max="3" width="5.28515625" customWidth="1"/>
    <col min="4" max="4" width="19.28515625" customWidth="1"/>
    <col min="5" max="5" width="28.140625" customWidth="1"/>
  </cols>
  <sheetData>
    <row r="1" spans="1:5">
      <c r="A1" s="16"/>
      <c r="B1" s="16"/>
      <c r="C1" s="17">
        <v>4</v>
      </c>
      <c r="D1" s="16"/>
      <c r="E1" s="16"/>
    </row>
    <row r="2" spans="1:5">
      <c r="A2" s="16"/>
      <c r="B2" s="16"/>
      <c r="C2" s="17">
        <v>4</v>
      </c>
      <c r="D2" s="16"/>
      <c r="E2" s="16"/>
    </row>
    <row r="3" spans="1:5" ht="18" customHeight="1">
      <c r="A3" s="30" t="s">
        <v>1010</v>
      </c>
      <c r="B3" s="30"/>
      <c r="D3" s="30" t="s">
        <v>1010</v>
      </c>
      <c r="E3" s="30"/>
    </row>
    <row r="4" spans="1:5">
      <c r="A4" s="14" t="s">
        <v>1003</v>
      </c>
      <c r="B4" t="s">
        <v>1009</v>
      </c>
      <c r="D4" s="14" t="s">
        <v>1003</v>
      </c>
      <c r="E4" t="s">
        <v>1011</v>
      </c>
    </row>
    <row r="5" spans="1:5">
      <c r="A5" s="15" t="s">
        <v>1004</v>
      </c>
      <c r="B5" s="12">
        <v>1.3668402777777777</v>
      </c>
      <c r="D5" s="15" t="s">
        <v>1004</v>
      </c>
      <c r="E5" s="18">
        <v>2.0905948641136138</v>
      </c>
    </row>
    <row r="6" spans="1:5">
      <c r="A6" s="15" t="s">
        <v>1005</v>
      </c>
      <c r="B6" s="12">
        <v>0.66396990740740736</v>
      </c>
      <c r="D6" s="15" t="s">
        <v>1005</v>
      </c>
      <c r="E6" s="18">
        <v>1.064298009533315</v>
      </c>
    </row>
    <row r="7" spans="1:5">
      <c r="A7" s="15" t="s">
        <v>1006</v>
      </c>
      <c r="B7" s="12">
        <v>0.67937500000000006</v>
      </c>
      <c r="D7" s="15" t="s">
        <v>1006</v>
      </c>
      <c r="E7" s="18">
        <v>1.122824596941316</v>
      </c>
    </row>
    <row r="8" spans="1:5">
      <c r="A8" s="15" t="s">
        <v>1007</v>
      </c>
      <c r="B8" s="12">
        <v>1.0142939814814815</v>
      </c>
      <c r="D8" s="15" t="s">
        <v>1012</v>
      </c>
      <c r="E8" s="18">
        <v>1.7236731368386569</v>
      </c>
    </row>
    <row r="9" spans="1:5">
      <c r="A9" s="15" t="s">
        <v>1008</v>
      </c>
      <c r="B9" s="12">
        <v>0.67259259259259263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1_Code">
                <anchor moveWithCells="1" sizeWithCells="1">
                  <from>
                    <xdr:col>1</xdr:col>
                    <xdr:colOff>1952625</xdr:colOff>
                    <xdr:row>9</xdr:row>
                    <xdr:rowOff>66675</xdr:rowOff>
                  </from>
                  <to>
                    <xdr:col>1</xdr:col>
                    <xdr:colOff>2085975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704850</xdr:colOff>
                    <xdr:row>0</xdr:row>
                    <xdr:rowOff>57150</xdr:rowOff>
                  </from>
                  <to>
                    <xdr:col>1</xdr:col>
                    <xdr:colOff>847725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Spinner 8">
              <controlPr defaultSize="0" autoPict="0" macro="[0]!Spinner8_Code">
                <anchor moveWithCells="1" sizeWithCells="1">
                  <from>
                    <xdr:col>4</xdr:col>
                    <xdr:colOff>409575</xdr:colOff>
                    <xdr:row>0</xdr:row>
                    <xdr:rowOff>47625</xdr:rowOff>
                  </from>
                  <to>
                    <xdr:col>4</xdr:col>
                    <xdr:colOff>552450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Spinner 9">
              <controlPr defaultSize="0" autoPict="0" macro="[0]!Spinner8_Code">
                <anchor moveWithCells="1" sizeWithCells="1">
                  <from>
                    <xdr:col>4</xdr:col>
                    <xdr:colOff>1666875</xdr:colOff>
                    <xdr:row>9</xdr:row>
                    <xdr:rowOff>76200</xdr:rowOff>
                  </from>
                  <to>
                    <xdr:col>4</xdr:col>
                    <xdr:colOff>1809750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F5BD3-E364-44DE-9D06-0595A195A5F8}">
  <sheetPr codeName="Sheet7"/>
  <dimension ref="A1:E9"/>
  <sheetViews>
    <sheetView topLeftCell="A4" zoomScale="166" zoomScaleNormal="166" workbookViewId="0">
      <selection activeCell="B7" sqref="B7"/>
    </sheetView>
  </sheetViews>
  <sheetFormatPr defaultRowHeight="15"/>
  <cols>
    <col min="1" max="1" width="14.28515625" bestFit="1" customWidth="1"/>
    <col min="2" max="2" width="35.140625" bestFit="1" customWidth="1"/>
  </cols>
  <sheetData>
    <row r="1" spans="1:5" ht="18.75">
      <c r="A1" s="28"/>
      <c r="B1" s="28"/>
      <c r="C1" s="29"/>
      <c r="D1" s="29"/>
      <c r="E1" s="29"/>
    </row>
    <row r="2" spans="1:5" ht="38.25" customHeight="1">
      <c r="A2" s="28"/>
      <c r="B2" s="28"/>
      <c r="C2" s="29"/>
      <c r="D2" s="29"/>
      <c r="E2" s="29">
        <v>8</v>
      </c>
    </row>
    <row r="3" spans="1:5" ht="23.25" customHeight="1">
      <c r="A3" s="31" t="s">
        <v>1150</v>
      </c>
      <c r="B3" s="31"/>
    </row>
    <row r="4" spans="1:5">
      <c r="A4" s="14" t="s">
        <v>1003</v>
      </c>
      <c r="B4" t="s">
        <v>1149</v>
      </c>
    </row>
    <row r="5" spans="1:5">
      <c r="A5" s="15" t="s">
        <v>1004</v>
      </c>
      <c r="B5" s="12">
        <v>1.3668402777777777</v>
      </c>
    </row>
    <row r="6" spans="1:5">
      <c r="A6" s="15" t="s">
        <v>1005</v>
      </c>
      <c r="B6" s="12">
        <v>0.66396990740740736</v>
      </c>
    </row>
    <row r="7" spans="1:5">
      <c r="A7" s="15" t="s">
        <v>1006</v>
      </c>
      <c r="B7" s="12">
        <v>0.67937500000000006</v>
      </c>
    </row>
    <row r="8" spans="1:5">
      <c r="A8" s="15" t="s">
        <v>1007</v>
      </c>
      <c r="B8" s="12">
        <v>1.0142939814814815</v>
      </c>
    </row>
    <row r="9" spans="1:5">
      <c r="A9" s="15" t="s">
        <v>1008</v>
      </c>
      <c r="B9" s="12">
        <v>0.67259259259259263</v>
      </c>
    </row>
  </sheetData>
  <mergeCells count="1">
    <mergeCell ref="A3:B3"/>
  </mergeCell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Spinner 2">
              <controlPr defaultSize="0" autoPict="0" macro="[0]!Module2.spinner2_code">
                <anchor moveWithCells="1" sizeWithCells="1">
                  <from>
                    <xdr:col>1</xdr:col>
                    <xdr:colOff>904875</xdr:colOff>
                    <xdr:row>0</xdr:row>
                    <xdr:rowOff>95250</xdr:rowOff>
                  </from>
                  <to>
                    <xdr:col>1</xdr:col>
                    <xdr:colOff>1114425</xdr:colOff>
                    <xdr:row>1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Break</vt:lpstr>
      <vt:lpstr>Efficiency</vt:lpstr>
      <vt:lpstr>OverAll Performance</vt:lpstr>
      <vt:lpstr>Summary</vt:lpstr>
      <vt:lpstr>summary 2</vt:lpstr>
      <vt:lpstr>Dashboard</vt:lpstr>
      <vt:lpstr>Dashboard 2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DANISH AZEEM</cp:lastModifiedBy>
  <dcterms:created xsi:type="dcterms:W3CDTF">2022-05-04T01:32:35Z</dcterms:created>
  <dcterms:modified xsi:type="dcterms:W3CDTF">2024-12-24T04:03:02Z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2023-09-02T05:25:58Z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a5244e5a-4a6a-4456-b708-d7a4bf295e2a</vt:lpwstr>
  </property>
  <property fmtid="{D5CDD505-2E9C-101B-9397-08002B2CF9AE}" pid="7" name="MSIP_Label_defa4170-0d19-0005-0004-bc88714345d2_ActionId">
    <vt:lpwstr>475a4988-9b16-4bea-a321-713c87533678</vt:lpwstr>
  </property>
  <property fmtid="{D5CDD505-2E9C-101B-9397-08002B2CF9AE}" pid="8" name="MSIP_Label_defa4170-0d19-0005-0004-bc88714345d2_ContentBits">
    <vt:lpwstr>0</vt:lpwstr>
  </property>
</Properties>
</file>