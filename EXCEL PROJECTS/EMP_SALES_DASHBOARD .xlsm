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166925"/>
  <mc:AlternateContent xmlns:mc="http://schemas.openxmlformats.org/markup-compatibility/2006">
    <mc:Choice Requires="x15">
      <x15ac:absPath xmlns:x15ac="http://schemas.microsoft.com/office/spreadsheetml/2010/11/ac" url="C:\Users\Danish\Desktop\PROJECTS\EXCEL PROJECTS\"/>
    </mc:Choice>
  </mc:AlternateContent>
  <xr:revisionPtr revIDLastSave="0" documentId="13_ncr:1_{F20FBE06-9BCB-402E-97B3-CCC086E5BC70}" xr6:coauthVersionLast="47" xr6:coauthVersionMax="47" xr10:uidLastSave="{00000000-0000-0000-0000-000000000000}"/>
  <bookViews>
    <workbookView xWindow="-120" yWindow="-120" windowWidth="29040" windowHeight="15840" activeTab="1" xr2:uid="{81D512C5-DFD0-45A9-BA7A-3679803E1A90}"/>
  </bookViews>
  <sheets>
    <sheet name="RAW DATA"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3" i="1" l="1"/>
  <c r="I142" i="1"/>
  <c r="K142" i="1" s="1"/>
  <c r="L142" i="1" s="1"/>
  <c r="I141" i="1"/>
  <c r="K141" i="1" s="1"/>
  <c r="L141" i="1" s="1"/>
  <c r="I140" i="1"/>
  <c r="K140" i="1" s="1"/>
  <c r="L140" i="1" s="1"/>
  <c r="I139" i="1"/>
  <c r="K139" i="1" s="1"/>
  <c r="L139" i="1" s="1"/>
  <c r="K138" i="1"/>
  <c r="L138" i="1" s="1"/>
  <c r="I138" i="1"/>
  <c r="I137" i="1"/>
  <c r="K137" i="1" s="1"/>
  <c r="L137" i="1" s="1"/>
  <c r="K136" i="1"/>
  <c r="L136" i="1" s="1"/>
  <c r="I136" i="1"/>
  <c r="I135" i="1"/>
  <c r="K135" i="1" s="1"/>
  <c r="L135" i="1" s="1"/>
  <c r="K134" i="1"/>
  <c r="L134" i="1" s="1"/>
  <c r="I134" i="1"/>
  <c r="I133" i="1"/>
  <c r="K133" i="1" s="1"/>
  <c r="L133" i="1" s="1"/>
  <c r="L132" i="1"/>
  <c r="K132" i="1"/>
  <c r="I132" i="1"/>
  <c r="K131" i="1"/>
  <c r="L131" i="1" s="1"/>
  <c r="I131" i="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K122" i="1"/>
  <c r="L122" i="1" s="1"/>
  <c r="I122" i="1"/>
  <c r="I121" i="1"/>
  <c r="K121" i="1" s="1"/>
  <c r="L121" i="1" s="1"/>
  <c r="K120" i="1"/>
  <c r="L120" i="1" s="1"/>
  <c r="I120" i="1"/>
  <c r="I119" i="1"/>
  <c r="K119" i="1" s="1"/>
  <c r="L119" i="1" s="1"/>
  <c r="I118" i="1"/>
  <c r="K118" i="1" s="1"/>
  <c r="L118" i="1" s="1"/>
  <c r="I117" i="1"/>
  <c r="K117" i="1" s="1"/>
  <c r="L117" i="1" s="1"/>
  <c r="I116" i="1"/>
  <c r="K116" i="1" s="1"/>
  <c r="L116" i="1" s="1"/>
  <c r="I115" i="1"/>
  <c r="K115" i="1" s="1"/>
  <c r="L115" i="1" s="1"/>
  <c r="K114" i="1"/>
  <c r="L114" i="1" s="1"/>
  <c r="I114" i="1"/>
  <c r="I113" i="1"/>
  <c r="K113" i="1" s="1"/>
  <c r="L113" i="1" s="1"/>
  <c r="K112" i="1"/>
  <c r="L112" i="1" s="1"/>
  <c r="I112" i="1"/>
  <c r="I111" i="1"/>
  <c r="K111" i="1" s="1"/>
  <c r="L111" i="1" s="1"/>
  <c r="I110" i="1"/>
  <c r="K110" i="1" s="1"/>
  <c r="L110" i="1" s="1"/>
  <c r="I109" i="1"/>
  <c r="K109" i="1" s="1"/>
  <c r="L109" i="1" s="1"/>
  <c r="I108" i="1"/>
  <c r="K108" i="1" s="1"/>
  <c r="L108" i="1" s="1"/>
  <c r="K107" i="1"/>
  <c r="L107" i="1" s="1"/>
  <c r="I107" i="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K98" i="1"/>
  <c r="L98" i="1" s="1"/>
  <c r="I98" i="1"/>
  <c r="I97" i="1"/>
  <c r="K97" i="1" s="1"/>
  <c r="L97" i="1" s="1"/>
  <c r="K96" i="1"/>
  <c r="L96" i="1" s="1"/>
  <c r="I96" i="1"/>
  <c r="I95" i="1"/>
  <c r="K95" i="1" s="1"/>
  <c r="L95" i="1" s="1"/>
  <c r="I94" i="1"/>
  <c r="K94" i="1" s="1"/>
  <c r="L94" i="1" s="1"/>
  <c r="I93" i="1"/>
  <c r="K93" i="1" s="1"/>
  <c r="L93" i="1" s="1"/>
  <c r="I92" i="1"/>
  <c r="K92" i="1" s="1"/>
  <c r="L92" i="1" s="1"/>
  <c r="K91" i="1"/>
  <c r="L91" i="1" s="1"/>
  <c r="I91" i="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K82" i="1"/>
  <c r="L82" i="1" s="1"/>
  <c r="I82" i="1"/>
  <c r="I81" i="1"/>
  <c r="K81" i="1" s="1"/>
  <c r="L81" i="1" s="1"/>
  <c r="K80" i="1"/>
  <c r="L80" i="1" s="1"/>
  <c r="I80" i="1"/>
  <c r="I79" i="1"/>
  <c r="K79" i="1" s="1"/>
  <c r="L79" i="1" s="1"/>
  <c r="I78" i="1"/>
  <c r="K78" i="1" s="1"/>
  <c r="L78" i="1" s="1"/>
  <c r="I77" i="1"/>
  <c r="K77" i="1" s="1"/>
  <c r="L77" i="1" s="1"/>
  <c r="I76" i="1"/>
  <c r="K76" i="1" s="1"/>
  <c r="L76" i="1" s="1"/>
  <c r="K75" i="1"/>
  <c r="L75" i="1" s="1"/>
  <c r="I75" i="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K66" i="1"/>
  <c r="L66" i="1" s="1"/>
  <c r="I66" i="1"/>
  <c r="I65" i="1"/>
  <c r="K65" i="1" s="1"/>
  <c r="L65" i="1" s="1"/>
  <c r="K64" i="1"/>
  <c r="L64" i="1" s="1"/>
  <c r="I64" i="1"/>
  <c r="I63" i="1"/>
  <c r="K63" i="1" s="1"/>
  <c r="L63" i="1" s="1"/>
  <c r="I62" i="1"/>
  <c r="K62" i="1" s="1"/>
  <c r="L62" i="1" s="1"/>
  <c r="I61" i="1"/>
  <c r="K61" i="1" s="1"/>
  <c r="L61" i="1" s="1"/>
  <c r="I60" i="1"/>
  <c r="K60" i="1" s="1"/>
  <c r="L60" i="1" s="1"/>
  <c r="K59" i="1"/>
  <c r="L59" i="1" s="1"/>
  <c r="I59" i="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K50" i="1"/>
  <c r="L50" i="1" s="1"/>
  <c r="I50" i="1"/>
  <c r="I49" i="1"/>
  <c r="K49" i="1" s="1"/>
  <c r="L49" i="1" s="1"/>
  <c r="K48" i="1"/>
  <c r="L48" i="1" s="1"/>
  <c r="I48" i="1"/>
  <c r="I47" i="1"/>
  <c r="K47" i="1" s="1"/>
  <c r="L47" i="1" s="1"/>
  <c r="I46" i="1"/>
  <c r="K46" i="1" s="1"/>
  <c r="L46" i="1" s="1"/>
  <c r="I45" i="1"/>
  <c r="K45" i="1" s="1"/>
  <c r="L45" i="1" s="1"/>
  <c r="I44" i="1"/>
  <c r="K44" i="1" s="1"/>
  <c r="L44" i="1" s="1"/>
  <c r="K43" i="1"/>
  <c r="L43" i="1" s="1"/>
  <c r="I43" i="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K31" i="1"/>
  <c r="L31" i="1" s="1"/>
  <c r="I31" i="1"/>
  <c r="I30" i="1"/>
  <c r="K30" i="1" s="1"/>
  <c r="L30" i="1" s="1"/>
  <c r="I29" i="1"/>
  <c r="K29" i="1" s="1"/>
  <c r="L29" i="1" s="1"/>
  <c r="I28" i="1"/>
  <c r="K28" i="1" s="1"/>
  <c r="L28" i="1" s="1"/>
  <c r="K27" i="1"/>
  <c r="L27" i="1" s="1"/>
  <c r="I27" i="1"/>
  <c r="I26" i="1"/>
  <c r="K26" i="1" s="1"/>
  <c r="L26" i="1" s="1"/>
  <c r="I25" i="1"/>
  <c r="K25" i="1" s="1"/>
  <c r="L25" i="1" s="1"/>
  <c r="I24" i="1"/>
  <c r="K24" i="1" s="1"/>
  <c r="L24" i="1" s="1"/>
  <c r="K23" i="1"/>
  <c r="L23" i="1" s="1"/>
  <c r="I23" i="1"/>
  <c r="I22" i="1"/>
  <c r="K22" i="1" s="1"/>
  <c r="L22" i="1" s="1"/>
  <c r="I21" i="1"/>
  <c r="K21" i="1" s="1"/>
  <c r="L21" i="1" s="1"/>
  <c r="I20" i="1"/>
  <c r="K20" i="1" s="1"/>
  <c r="L20" i="1" s="1"/>
  <c r="K19" i="1"/>
  <c r="L19" i="1" s="1"/>
  <c r="I19" i="1"/>
  <c r="I18" i="1"/>
  <c r="K18" i="1" s="1"/>
  <c r="L18" i="1" s="1"/>
  <c r="I17" i="1"/>
  <c r="K17" i="1" s="1"/>
  <c r="L17" i="1" s="1"/>
  <c r="I16" i="1"/>
  <c r="K16" i="1" s="1"/>
  <c r="L16" i="1" s="1"/>
  <c r="K15" i="1"/>
  <c r="L15" i="1" s="1"/>
  <c r="I15" i="1"/>
  <c r="I14" i="1"/>
  <c r="K14" i="1" s="1"/>
  <c r="L14" i="1" s="1"/>
  <c r="I13" i="1"/>
  <c r="K13" i="1" s="1"/>
  <c r="L13" i="1" s="1"/>
  <c r="I12" i="1"/>
  <c r="K12" i="1" s="1"/>
  <c r="L12" i="1" s="1"/>
  <c r="K11" i="1"/>
  <c r="L11" i="1" s="1"/>
  <c r="I11" i="1"/>
  <c r="I10" i="1"/>
  <c r="K10" i="1" s="1"/>
  <c r="L10" i="1" s="1"/>
  <c r="I9" i="1"/>
  <c r="K9" i="1" s="1"/>
  <c r="L9" i="1" s="1"/>
  <c r="I8" i="1"/>
  <c r="K8" i="1" s="1"/>
  <c r="L8" i="1" s="1"/>
  <c r="K7" i="1"/>
  <c r="L7" i="1" s="1"/>
  <c r="I7" i="1"/>
  <c r="I6" i="1"/>
  <c r="K6" i="1" s="1"/>
  <c r="L6" i="1" s="1"/>
  <c r="I5" i="1"/>
  <c r="K5" i="1" s="1"/>
  <c r="L5" i="1" s="1"/>
  <c r="I4" i="1"/>
  <c r="K4" i="1" s="1"/>
  <c r="L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<sst xmlns="http://schemas.openxmlformats.org/spreadsheetml/2006/main" count="463" uniqueCount="305">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</sst>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4" fillId="3" borderId="2" xfId="0" applyFont="1" applyFill="1" applyBorder="1" applyAlignment="1">
      <alignment horizontal="center" vertical="center"/>
    </xf>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3"/>
  <sheetViews>
    <sheetView topLeftCell="A4" zoomScale="130" zoomScaleNormal="130" workbookViewId="0">
      <selection activeCell="N6" sqref="N6"/>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row r="143" spans="1:12" x14ac:dyDescent="0.25">
      <c r="I143" s="13">
        <f>SUM(I2:I142)</f>
        <v>38945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B21" sqref="B21"/>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0</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v>382</v>
      </c>
      <c r="C4" s="12"/>
      <c r="D4" s="10" t="s">
        <v>231</v>
      </c>
      <c r="E4">
        <v>228</v>
      </c>
      <c r="F4" s="12"/>
      <c r="G4" s="10" t="s">
        <v>295</v>
      </c>
      <c r="H4" s="11">
        <v>0.76400000000000001</v>
      </c>
      <c r="I4" s="12"/>
      <c r="J4" s="10" t="s">
        <v>231</v>
      </c>
      <c r="K4" s="11">
        <v>0.54400000000000004</v>
      </c>
    </row>
    <row r="5" spans="1:11" x14ac:dyDescent="0.25">
      <c r="A5" s="10" t="s">
        <v>263</v>
      </c>
      <c r="B5">
        <v>327</v>
      </c>
      <c r="C5" s="12"/>
      <c r="D5" s="10" t="s">
        <v>183</v>
      </c>
      <c r="E5">
        <v>209</v>
      </c>
      <c r="F5" s="12"/>
      <c r="G5" s="10" t="s">
        <v>263</v>
      </c>
      <c r="H5" s="11">
        <v>0.65400000000000003</v>
      </c>
      <c r="I5" s="12"/>
      <c r="J5" s="10" t="s">
        <v>183</v>
      </c>
      <c r="K5" s="11">
        <v>0.58200000000000007</v>
      </c>
    </row>
    <row r="6" spans="1:11" x14ac:dyDescent="0.25">
      <c r="A6" s="10" t="s">
        <v>199</v>
      </c>
      <c r="B6">
        <v>318</v>
      </c>
      <c r="C6" s="12"/>
      <c r="D6" s="10" t="s">
        <v>151</v>
      </c>
      <c r="E6">
        <v>166</v>
      </c>
      <c r="F6" s="12"/>
      <c r="G6" s="10" t="s">
        <v>199</v>
      </c>
      <c r="H6" s="11">
        <v>0.63600000000000001</v>
      </c>
      <c r="I6" s="12"/>
      <c r="J6" s="10" t="s">
        <v>151</v>
      </c>
      <c r="K6" s="11">
        <v>0.66799999999999993</v>
      </c>
    </row>
    <row r="7" spans="1:11" x14ac:dyDescent="0.25">
      <c r="A7" s="10" t="s">
        <v>119</v>
      </c>
      <c r="B7">
        <v>340</v>
      </c>
      <c r="C7" s="12"/>
      <c r="D7" s="10" t="s">
        <v>87</v>
      </c>
      <c r="E7">
        <v>223</v>
      </c>
      <c r="F7" s="12"/>
      <c r="G7" s="10" t="s">
        <v>119</v>
      </c>
      <c r="H7" s="11">
        <v>0.68</v>
      </c>
      <c r="I7" s="12"/>
      <c r="J7" s="10" t="s">
        <v>87</v>
      </c>
      <c r="K7" s="11">
        <v>0.55400000000000005</v>
      </c>
    </row>
    <row r="8" spans="1:11" x14ac:dyDescent="0.25">
      <c r="A8" s="10" t="s">
        <v>103</v>
      </c>
      <c r="B8">
        <v>371</v>
      </c>
      <c r="C8" s="12"/>
      <c r="D8" s="10" t="s">
        <v>39</v>
      </c>
      <c r="E8">
        <v>213</v>
      </c>
      <c r="F8" s="12"/>
      <c r="G8" s="10" t="s">
        <v>103</v>
      </c>
      <c r="H8" s="11">
        <v>0.74199999999999999</v>
      </c>
      <c r="I8" s="12"/>
      <c r="J8" s="10" t="s">
        <v>39</v>
      </c>
      <c r="K8" s="11">
        <v>0.57400000000000007</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DANISH AZEEM</cp:lastModifiedBy>
  <dcterms:created xsi:type="dcterms:W3CDTF">2022-05-30T01:30:00Z</dcterms:created>
  <dcterms:modified xsi:type="dcterms:W3CDTF">2024-12-24T03:56:33Z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2023-12-02T14:58:33Z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a5244e5a-4a6a-4456-b708-d7a4bf295e2a</vt:lpwstr>
  </property>
  <property fmtid="{D5CDD505-2E9C-101B-9397-08002B2CF9AE}" pid="7" name="MSIP_Label_defa4170-0d19-0005-0004-bc88714345d2_ActionId">
    <vt:lpwstr>af7a37e8-709c-4fd4-949e-16a4f79d43b8</vt:lpwstr>
  </property>
  <property fmtid="{D5CDD505-2E9C-101B-9397-08002B2CF9AE}" pid="8" name="MSIP_Label_defa4170-0d19-0005-0004-bc88714345d2_ContentBits">
    <vt:lpwstr>0</vt:lpwstr>
  </property>
</Properties>
</file>